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nahhapich/Documents/R_Scripts/TWP_Runoff/data/"/>
    </mc:Choice>
  </mc:AlternateContent>
  <xr:revisionPtr revIDLastSave="0" documentId="13_ncr:1_{59B84EA0-ACB7-DC42-A742-DA1046C39267}" xr6:coauthVersionLast="47" xr6:coauthVersionMax="47" xr10:uidLastSave="{00000000-0000-0000-0000-000000000000}"/>
  <bookViews>
    <workbookView xWindow="21780" yWindow="2800" windowWidth="28640" windowHeight="16800" activeTab="4" xr2:uid="{E070D50E-D6BF-4C34-AAC0-941B728BAD5B}"/>
  </bookViews>
  <sheets>
    <sheet name="Summary" sheetId="44" r:id="rId1"/>
    <sheet name="high3_3" sheetId="47" r:id="rId2"/>
    <sheet name="high3_2" sheetId="46" r:id="rId3"/>
    <sheet name="high3_1" sheetId="45" r:id="rId4"/>
    <sheet name="high2_3" sheetId="43" r:id="rId5"/>
    <sheet name="high2_2" sheetId="42" r:id="rId6"/>
    <sheet name="high2_1" sheetId="41" r:id="rId7"/>
    <sheet name="high_3" sheetId="34" r:id="rId8"/>
    <sheet name="high_2" sheetId="33" r:id="rId9"/>
    <sheet name="high_1" sheetId="32" r:id="rId10"/>
    <sheet name="med3_3" sheetId="40" r:id="rId11"/>
    <sheet name="med3_2" sheetId="39" r:id="rId12"/>
    <sheet name="med3_1" sheetId="38" r:id="rId13"/>
    <sheet name="med2_3" sheetId="37" r:id="rId14"/>
    <sheet name="med2_2" sheetId="36" r:id="rId15"/>
    <sheet name="med2_1" sheetId="35" r:id="rId16"/>
    <sheet name="med_3" sheetId="31" r:id="rId17"/>
    <sheet name="med_2" sheetId="30" r:id="rId18"/>
    <sheet name="med_1" sheetId="29" r:id="rId19"/>
    <sheet name="low_3" sheetId="28" r:id="rId20"/>
    <sheet name="low_2" sheetId="27" r:id="rId21"/>
    <sheet name="low_1" sheetId="26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4" l="1"/>
  <c r="B9" i="44"/>
  <c r="C23" i="47"/>
  <c r="C26" i="47" s="1"/>
  <c r="E22" i="47"/>
  <c r="E21" i="47"/>
  <c r="E20" i="47"/>
  <c r="E19" i="47"/>
  <c r="E18" i="47"/>
  <c r="E17" i="47"/>
  <c r="E16" i="47"/>
  <c r="E15" i="47"/>
  <c r="E14" i="47"/>
  <c r="E13" i="47"/>
  <c r="E12" i="47"/>
  <c r="E11" i="47"/>
  <c r="C23" i="46"/>
  <c r="C26" i="46" s="1"/>
  <c r="E22" i="46"/>
  <c r="E21" i="46"/>
  <c r="E20" i="46"/>
  <c r="E19" i="46"/>
  <c r="E18" i="46"/>
  <c r="E17" i="46"/>
  <c r="E16" i="46"/>
  <c r="E15" i="46"/>
  <c r="E14" i="46"/>
  <c r="E13" i="46"/>
  <c r="E12" i="46"/>
  <c r="E11" i="46"/>
  <c r="C23" i="45"/>
  <c r="C26" i="45" s="1"/>
  <c r="E22" i="45"/>
  <c r="E21" i="45"/>
  <c r="E20" i="45"/>
  <c r="E19" i="45"/>
  <c r="E18" i="45"/>
  <c r="E17" i="45"/>
  <c r="E16" i="45"/>
  <c r="E15" i="45"/>
  <c r="E14" i="45"/>
  <c r="E13" i="45"/>
  <c r="E12" i="45"/>
  <c r="E11" i="45"/>
  <c r="C8" i="44"/>
  <c r="B8" i="44"/>
  <c r="C7" i="44"/>
  <c r="B7" i="44"/>
  <c r="C6" i="44"/>
  <c r="B6" i="44"/>
  <c r="C3" i="44"/>
  <c r="B3" i="44"/>
  <c r="C5" i="44"/>
  <c r="B5" i="44"/>
  <c r="C4" i="44"/>
  <c r="B4" i="44"/>
  <c r="C23" i="43"/>
  <c r="C26" i="43" s="1"/>
  <c r="E22" i="43"/>
  <c r="E21" i="43"/>
  <c r="E20" i="43"/>
  <c r="E19" i="43"/>
  <c r="E18" i="43"/>
  <c r="E17" i="43"/>
  <c r="E16" i="43"/>
  <c r="E15" i="43"/>
  <c r="E14" i="43"/>
  <c r="E13" i="43"/>
  <c r="E12" i="43"/>
  <c r="E11" i="43"/>
  <c r="C23" i="42"/>
  <c r="C26" i="42" s="1"/>
  <c r="E22" i="42"/>
  <c r="E21" i="42"/>
  <c r="E20" i="42"/>
  <c r="E19" i="42"/>
  <c r="E18" i="42"/>
  <c r="E17" i="42"/>
  <c r="E16" i="42"/>
  <c r="E15" i="42"/>
  <c r="E14" i="42"/>
  <c r="E13" i="42"/>
  <c r="E12" i="42"/>
  <c r="E11" i="42"/>
  <c r="C23" i="41"/>
  <c r="C26" i="41" s="1"/>
  <c r="E22" i="41"/>
  <c r="E21" i="41"/>
  <c r="E20" i="41"/>
  <c r="E19" i="41"/>
  <c r="E18" i="41"/>
  <c r="E17" i="41"/>
  <c r="E16" i="41"/>
  <c r="E15" i="41"/>
  <c r="E14" i="41"/>
  <c r="E13" i="41"/>
  <c r="E12" i="41"/>
  <c r="E11" i="41"/>
  <c r="C23" i="40"/>
  <c r="C26" i="40" s="1"/>
  <c r="E22" i="40"/>
  <c r="E21" i="40"/>
  <c r="E20" i="40"/>
  <c r="E19" i="40"/>
  <c r="E18" i="40"/>
  <c r="E17" i="40"/>
  <c r="E16" i="40"/>
  <c r="E15" i="40"/>
  <c r="E14" i="40"/>
  <c r="E13" i="40"/>
  <c r="E12" i="40"/>
  <c r="E11" i="40"/>
  <c r="C23" i="39"/>
  <c r="C26" i="39" s="1"/>
  <c r="E22" i="39"/>
  <c r="E21" i="39"/>
  <c r="E20" i="39"/>
  <c r="E19" i="39"/>
  <c r="E18" i="39"/>
  <c r="E17" i="39"/>
  <c r="E16" i="39"/>
  <c r="E15" i="39"/>
  <c r="E14" i="39"/>
  <c r="E13" i="39"/>
  <c r="E12" i="39"/>
  <c r="E11" i="39"/>
  <c r="C23" i="38"/>
  <c r="C26" i="38" s="1"/>
  <c r="E22" i="38"/>
  <c r="E21" i="38"/>
  <c r="E20" i="38"/>
  <c r="E19" i="38"/>
  <c r="E18" i="38"/>
  <c r="E17" i="38"/>
  <c r="E16" i="38"/>
  <c r="E15" i="38"/>
  <c r="E14" i="38"/>
  <c r="E13" i="38"/>
  <c r="E12" i="38"/>
  <c r="E11" i="38"/>
  <c r="C23" i="37"/>
  <c r="C26" i="37" s="1"/>
  <c r="E22" i="37"/>
  <c r="E21" i="37"/>
  <c r="E20" i="37"/>
  <c r="E19" i="37"/>
  <c r="E18" i="37"/>
  <c r="E17" i="37"/>
  <c r="E16" i="37"/>
  <c r="E15" i="37"/>
  <c r="E14" i="37"/>
  <c r="E13" i="37"/>
  <c r="E12" i="37"/>
  <c r="E11" i="37"/>
  <c r="C23" i="36"/>
  <c r="C26" i="36" s="1"/>
  <c r="E22" i="36"/>
  <c r="E21" i="36"/>
  <c r="E20" i="36"/>
  <c r="E19" i="36"/>
  <c r="E18" i="36"/>
  <c r="E17" i="36"/>
  <c r="E16" i="36"/>
  <c r="E15" i="36"/>
  <c r="E14" i="36"/>
  <c r="E13" i="36"/>
  <c r="E12" i="36"/>
  <c r="E11" i="36"/>
  <c r="C23" i="35"/>
  <c r="C26" i="35" s="1"/>
  <c r="E22" i="35"/>
  <c r="E21" i="35"/>
  <c r="E20" i="35"/>
  <c r="E19" i="35"/>
  <c r="E18" i="35"/>
  <c r="E17" i="35"/>
  <c r="E16" i="35"/>
  <c r="E15" i="35"/>
  <c r="E14" i="35"/>
  <c r="E13" i="35"/>
  <c r="E12" i="35"/>
  <c r="E11" i="35"/>
  <c r="C23" i="34"/>
  <c r="C26" i="34" s="1"/>
  <c r="E22" i="34"/>
  <c r="E21" i="34"/>
  <c r="E20" i="34"/>
  <c r="E19" i="34"/>
  <c r="E18" i="34"/>
  <c r="E17" i="34"/>
  <c r="E16" i="34"/>
  <c r="E15" i="34"/>
  <c r="E14" i="34"/>
  <c r="E13" i="34"/>
  <c r="E12" i="34"/>
  <c r="E11" i="34"/>
  <c r="C23" i="33"/>
  <c r="C26" i="33" s="1"/>
  <c r="E22" i="33"/>
  <c r="E21" i="33"/>
  <c r="E20" i="33"/>
  <c r="E19" i="33"/>
  <c r="E18" i="33"/>
  <c r="E17" i="33"/>
  <c r="E16" i="33"/>
  <c r="E15" i="33"/>
  <c r="E14" i="33"/>
  <c r="E13" i="33"/>
  <c r="E12" i="33"/>
  <c r="E11" i="33"/>
  <c r="C23" i="32"/>
  <c r="C26" i="32" s="1"/>
  <c r="E22" i="32"/>
  <c r="E21" i="32"/>
  <c r="E20" i="32"/>
  <c r="E19" i="32"/>
  <c r="E18" i="32"/>
  <c r="E17" i="32"/>
  <c r="E16" i="32"/>
  <c r="E15" i="32"/>
  <c r="E14" i="32"/>
  <c r="E13" i="32"/>
  <c r="E12" i="32"/>
  <c r="E11" i="32"/>
  <c r="C23" i="31"/>
  <c r="C26" i="31" s="1"/>
  <c r="E22" i="31"/>
  <c r="E21" i="31"/>
  <c r="E20" i="31"/>
  <c r="E19" i="31"/>
  <c r="E18" i="31"/>
  <c r="E17" i="31"/>
  <c r="E16" i="31"/>
  <c r="E15" i="31"/>
  <c r="E14" i="31"/>
  <c r="E13" i="31"/>
  <c r="E12" i="31"/>
  <c r="E11" i="31"/>
  <c r="C23" i="30"/>
  <c r="C26" i="30" s="1"/>
  <c r="E22" i="30"/>
  <c r="E21" i="30"/>
  <c r="E20" i="30"/>
  <c r="E19" i="30"/>
  <c r="E18" i="30"/>
  <c r="E17" i="30"/>
  <c r="E16" i="30"/>
  <c r="E15" i="30"/>
  <c r="E14" i="30"/>
  <c r="E13" i="30"/>
  <c r="E12" i="30"/>
  <c r="E11" i="30"/>
  <c r="C23" i="29"/>
  <c r="C26" i="29" s="1"/>
  <c r="E22" i="29"/>
  <c r="E21" i="29"/>
  <c r="E20" i="29"/>
  <c r="E19" i="29"/>
  <c r="E18" i="29"/>
  <c r="E17" i="29"/>
  <c r="E16" i="29"/>
  <c r="E15" i="29"/>
  <c r="E14" i="29"/>
  <c r="E13" i="29"/>
  <c r="E12" i="29"/>
  <c r="E11" i="29"/>
  <c r="C23" i="28"/>
  <c r="C26" i="28" s="1"/>
  <c r="E22" i="28"/>
  <c r="E21" i="28"/>
  <c r="E20" i="28"/>
  <c r="E19" i="28"/>
  <c r="E18" i="28"/>
  <c r="E17" i="28"/>
  <c r="E16" i="28"/>
  <c r="E15" i="28"/>
  <c r="E14" i="28"/>
  <c r="E13" i="28"/>
  <c r="E12" i="28"/>
  <c r="E11" i="28"/>
  <c r="C23" i="27"/>
  <c r="C26" i="27" s="1"/>
  <c r="E22" i="27"/>
  <c r="E21" i="27"/>
  <c r="E20" i="27"/>
  <c r="E19" i="27"/>
  <c r="E18" i="27"/>
  <c r="E17" i="27"/>
  <c r="E16" i="27"/>
  <c r="E15" i="27"/>
  <c r="E14" i="27"/>
  <c r="E13" i="27"/>
  <c r="E12" i="27"/>
  <c r="E11" i="27"/>
  <c r="C23" i="26"/>
  <c r="C26" i="26" s="1"/>
  <c r="E22" i="26"/>
  <c r="E21" i="26"/>
  <c r="E20" i="26"/>
  <c r="E19" i="26"/>
  <c r="E18" i="26"/>
  <c r="E17" i="26"/>
  <c r="E16" i="26"/>
  <c r="E15" i="26"/>
  <c r="E14" i="26"/>
  <c r="E13" i="26"/>
  <c r="E12" i="26"/>
  <c r="E11" i="26"/>
  <c r="D13" i="47" l="1"/>
  <c r="H14" i="47"/>
  <c r="D20" i="47"/>
  <c r="D15" i="47"/>
  <c r="D22" i="47"/>
  <c r="D17" i="47"/>
  <c r="E23" i="46"/>
  <c r="F16" i="46" s="1"/>
  <c r="E23" i="47"/>
  <c r="F13" i="47" s="1"/>
  <c r="F13" i="46"/>
  <c r="F21" i="46"/>
  <c r="F22" i="46"/>
  <c r="F17" i="46"/>
  <c r="F18" i="46"/>
  <c r="F12" i="46"/>
  <c r="F19" i="46"/>
  <c r="E23" i="45"/>
  <c r="F18" i="45" s="1"/>
  <c r="D11" i="47"/>
  <c r="D18" i="47"/>
  <c r="D21" i="47"/>
  <c r="D14" i="47"/>
  <c r="D16" i="47"/>
  <c r="C25" i="47"/>
  <c r="C24" i="47"/>
  <c r="D12" i="47"/>
  <c r="D19" i="47"/>
  <c r="D21" i="46"/>
  <c r="C24" i="46"/>
  <c r="F14" i="46"/>
  <c r="D22" i="46"/>
  <c r="H14" i="46"/>
  <c r="D17" i="46"/>
  <c r="D13" i="46"/>
  <c r="D15" i="46"/>
  <c r="D20" i="46"/>
  <c r="D14" i="46"/>
  <c r="D16" i="46"/>
  <c r="C25" i="46"/>
  <c r="D11" i="46"/>
  <c r="D18" i="46"/>
  <c r="D12" i="46"/>
  <c r="D19" i="46"/>
  <c r="F17" i="45"/>
  <c r="F19" i="45"/>
  <c r="D17" i="45"/>
  <c r="D14" i="45"/>
  <c r="D16" i="45"/>
  <c r="D22" i="45"/>
  <c r="H14" i="45"/>
  <c r="D13" i="45"/>
  <c r="D15" i="45"/>
  <c r="D20" i="45"/>
  <c r="D11" i="45"/>
  <c r="D18" i="45"/>
  <c r="C24" i="45"/>
  <c r="C25" i="45"/>
  <c r="D21" i="45"/>
  <c r="D12" i="45"/>
  <c r="D19" i="45"/>
  <c r="E23" i="42"/>
  <c r="F16" i="42" s="1"/>
  <c r="E23" i="43"/>
  <c r="F14" i="43" s="1"/>
  <c r="D22" i="43"/>
  <c r="H14" i="43"/>
  <c r="D15" i="43"/>
  <c r="D20" i="43"/>
  <c r="D18" i="43"/>
  <c r="D21" i="43"/>
  <c r="C24" i="43"/>
  <c r="D17" i="43"/>
  <c r="D13" i="43"/>
  <c r="D11" i="43"/>
  <c r="D14" i="43"/>
  <c r="D16" i="43"/>
  <c r="C25" i="43"/>
  <c r="D12" i="43"/>
  <c r="D19" i="43"/>
  <c r="D22" i="42"/>
  <c r="D21" i="42"/>
  <c r="C24" i="42"/>
  <c r="D13" i="42"/>
  <c r="D14" i="42"/>
  <c r="D16" i="42"/>
  <c r="C25" i="42"/>
  <c r="H14" i="42"/>
  <c r="D17" i="42"/>
  <c r="D15" i="42"/>
  <c r="D20" i="42"/>
  <c r="D11" i="42"/>
  <c r="D18" i="42"/>
  <c r="D12" i="42"/>
  <c r="D19" i="42"/>
  <c r="D22" i="41"/>
  <c r="E23" i="41"/>
  <c r="F20" i="41" s="1"/>
  <c r="H14" i="41"/>
  <c r="D13" i="41"/>
  <c r="D18" i="41"/>
  <c r="D21" i="41"/>
  <c r="C24" i="41"/>
  <c r="D17" i="41"/>
  <c r="D15" i="41"/>
  <c r="D20" i="41"/>
  <c r="D11" i="41"/>
  <c r="D14" i="41"/>
  <c r="D16" i="41"/>
  <c r="C25" i="41"/>
  <c r="D12" i="41"/>
  <c r="D19" i="41"/>
  <c r="D17" i="34"/>
  <c r="D13" i="34"/>
  <c r="E23" i="34"/>
  <c r="F13" i="34" s="1"/>
  <c r="D20" i="34"/>
  <c r="D15" i="34"/>
  <c r="H14" i="34"/>
  <c r="D22" i="34"/>
  <c r="D20" i="33"/>
  <c r="H14" i="33"/>
  <c r="D15" i="33"/>
  <c r="D22" i="33"/>
  <c r="D13" i="33"/>
  <c r="D17" i="33"/>
  <c r="E23" i="33"/>
  <c r="F15" i="33" s="1"/>
  <c r="E23" i="32"/>
  <c r="F18" i="32" s="1"/>
  <c r="D15" i="40"/>
  <c r="D13" i="40"/>
  <c r="D20" i="40"/>
  <c r="H14" i="40"/>
  <c r="D22" i="40"/>
  <c r="D17" i="40"/>
  <c r="D15" i="39"/>
  <c r="D17" i="39"/>
  <c r="D22" i="39"/>
  <c r="D13" i="39"/>
  <c r="E23" i="39"/>
  <c r="F21" i="39" s="1"/>
  <c r="H14" i="39"/>
  <c r="D20" i="39"/>
  <c r="E23" i="40"/>
  <c r="F13" i="40" s="1"/>
  <c r="C24" i="40"/>
  <c r="D14" i="40"/>
  <c r="D16" i="40"/>
  <c r="C25" i="40"/>
  <c r="D11" i="40"/>
  <c r="D18" i="40"/>
  <c r="D21" i="40"/>
  <c r="D12" i="40"/>
  <c r="D19" i="40"/>
  <c r="C25" i="39"/>
  <c r="D11" i="39"/>
  <c r="D18" i="39"/>
  <c r="D21" i="39"/>
  <c r="C24" i="39"/>
  <c r="D14" i="39"/>
  <c r="D16" i="39"/>
  <c r="D12" i="39"/>
  <c r="D19" i="39"/>
  <c r="H14" i="38"/>
  <c r="D11" i="38"/>
  <c r="D18" i="38"/>
  <c r="E23" i="38"/>
  <c r="F12" i="38" s="1"/>
  <c r="D22" i="38"/>
  <c r="D15" i="38"/>
  <c r="D21" i="38"/>
  <c r="C24" i="38"/>
  <c r="D14" i="38"/>
  <c r="D16" i="38"/>
  <c r="C25" i="38"/>
  <c r="D17" i="38"/>
  <c r="D13" i="38"/>
  <c r="D20" i="38"/>
  <c r="D12" i="38"/>
  <c r="D19" i="38"/>
  <c r="E23" i="37"/>
  <c r="F16" i="37" s="1"/>
  <c r="E23" i="36"/>
  <c r="F14" i="36" s="1"/>
  <c r="F21" i="36"/>
  <c r="F17" i="36"/>
  <c r="F18" i="36"/>
  <c r="F11" i="36"/>
  <c r="F19" i="36"/>
  <c r="F12" i="36"/>
  <c r="F13" i="36"/>
  <c r="F22" i="36"/>
  <c r="E23" i="35"/>
  <c r="F16" i="35" s="1"/>
  <c r="D17" i="31"/>
  <c r="E23" i="31"/>
  <c r="F15" i="31" s="1"/>
  <c r="D15" i="31"/>
  <c r="D13" i="31"/>
  <c r="F13" i="31"/>
  <c r="F18" i="31"/>
  <c r="F19" i="31"/>
  <c r="H14" i="31"/>
  <c r="D20" i="31"/>
  <c r="F20" i="31"/>
  <c r="D22" i="31"/>
  <c r="D21" i="37"/>
  <c r="C24" i="37"/>
  <c r="H14" i="37"/>
  <c r="D15" i="37"/>
  <c r="D20" i="37"/>
  <c r="D18" i="37"/>
  <c r="D14" i="37"/>
  <c r="D16" i="37"/>
  <c r="C25" i="37"/>
  <c r="D22" i="37"/>
  <c r="D17" i="37"/>
  <c r="D13" i="37"/>
  <c r="D11" i="37"/>
  <c r="D12" i="37"/>
  <c r="D19" i="37"/>
  <c r="F16" i="36"/>
  <c r="D22" i="36"/>
  <c r="D17" i="36"/>
  <c r="D15" i="36"/>
  <c r="D20" i="36"/>
  <c r="D21" i="36"/>
  <c r="C24" i="36"/>
  <c r="H14" i="36"/>
  <c r="D13" i="36"/>
  <c r="D18" i="36"/>
  <c r="C25" i="36"/>
  <c r="D11" i="36"/>
  <c r="D14" i="36"/>
  <c r="D16" i="36"/>
  <c r="D12" i="36"/>
  <c r="D19" i="36"/>
  <c r="D22" i="35"/>
  <c r="F22" i="35"/>
  <c r="D21" i="35"/>
  <c r="C24" i="35"/>
  <c r="H14" i="35"/>
  <c r="D15" i="35"/>
  <c r="D18" i="35"/>
  <c r="D14" i="35"/>
  <c r="D16" i="35"/>
  <c r="F18" i="35"/>
  <c r="C25" i="35"/>
  <c r="D17" i="35"/>
  <c r="D13" i="35"/>
  <c r="D20" i="35"/>
  <c r="D11" i="35"/>
  <c r="D12" i="35"/>
  <c r="D19" i="35"/>
  <c r="D20" i="30"/>
  <c r="D17" i="30"/>
  <c r="H14" i="30"/>
  <c r="D15" i="30"/>
  <c r="E23" i="30"/>
  <c r="F18" i="30" s="1"/>
  <c r="D13" i="30"/>
  <c r="D22" i="30"/>
  <c r="H14" i="29"/>
  <c r="D20" i="29"/>
  <c r="D15" i="29"/>
  <c r="D22" i="29"/>
  <c r="D17" i="29"/>
  <c r="D13" i="29"/>
  <c r="D22" i="28"/>
  <c r="E23" i="28"/>
  <c r="F11" i="28" s="1"/>
  <c r="D17" i="28"/>
  <c r="D13" i="28"/>
  <c r="H14" i="28"/>
  <c r="D20" i="28"/>
  <c r="D15" i="28"/>
  <c r="E23" i="27"/>
  <c r="F15" i="27" s="1"/>
  <c r="D20" i="27"/>
  <c r="F13" i="27"/>
  <c r="H14" i="27"/>
  <c r="D13" i="27"/>
  <c r="D15" i="27"/>
  <c r="D22" i="27"/>
  <c r="D17" i="27"/>
  <c r="D11" i="34"/>
  <c r="D18" i="34"/>
  <c r="D21" i="34"/>
  <c r="C24" i="34"/>
  <c r="D14" i="34"/>
  <c r="D16" i="34"/>
  <c r="C25" i="34"/>
  <c r="D12" i="34"/>
  <c r="D19" i="34"/>
  <c r="D11" i="33"/>
  <c r="D18" i="33"/>
  <c r="C25" i="33"/>
  <c r="D21" i="33"/>
  <c r="C24" i="33"/>
  <c r="D14" i="33"/>
  <c r="D16" i="33"/>
  <c r="D12" i="33"/>
  <c r="D19" i="33"/>
  <c r="D21" i="32"/>
  <c r="C24" i="32"/>
  <c r="F14" i="32"/>
  <c r="F16" i="32"/>
  <c r="D22" i="32"/>
  <c r="H14" i="32"/>
  <c r="D17" i="32"/>
  <c r="D13" i="32"/>
  <c r="D15" i="32"/>
  <c r="D20" i="32"/>
  <c r="F11" i="32"/>
  <c r="C25" i="32"/>
  <c r="D11" i="32"/>
  <c r="D18" i="32"/>
  <c r="D14" i="32"/>
  <c r="D16" i="32"/>
  <c r="D12" i="32"/>
  <c r="D19" i="32"/>
  <c r="F11" i="31"/>
  <c r="F14" i="31"/>
  <c r="F16" i="31"/>
  <c r="F22" i="31"/>
  <c r="D11" i="31"/>
  <c r="D18" i="31"/>
  <c r="D21" i="31"/>
  <c r="C24" i="31"/>
  <c r="D14" i="31"/>
  <c r="D16" i="31"/>
  <c r="C25" i="31"/>
  <c r="D12" i="31"/>
  <c r="D19" i="31"/>
  <c r="D11" i="30"/>
  <c r="D18" i="30"/>
  <c r="D21" i="30"/>
  <c r="C24" i="30"/>
  <c r="D14" i="30"/>
  <c r="D16" i="30"/>
  <c r="C25" i="30"/>
  <c r="D12" i="30"/>
  <c r="D19" i="30"/>
  <c r="D11" i="29"/>
  <c r="D18" i="29"/>
  <c r="E23" i="29"/>
  <c r="F13" i="29" s="1"/>
  <c r="D21" i="29"/>
  <c r="C24" i="29"/>
  <c r="D14" i="29"/>
  <c r="D16" i="29"/>
  <c r="C25" i="29"/>
  <c r="D12" i="29"/>
  <c r="D19" i="29"/>
  <c r="D11" i="28"/>
  <c r="D18" i="28"/>
  <c r="D21" i="28"/>
  <c r="C24" i="28"/>
  <c r="D14" i="28"/>
  <c r="D16" i="28"/>
  <c r="C25" i="28"/>
  <c r="D12" i="28"/>
  <c r="D19" i="28"/>
  <c r="D11" i="27"/>
  <c r="D18" i="27"/>
  <c r="C25" i="27"/>
  <c r="D21" i="27"/>
  <c r="C24" i="27"/>
  <c r="D14" i="27"/>
  <c r="D16" i="27"/>
  <c r="D12" i="27"/>
  <c r="D19" i="27"/>
  <c r="E23" i="26"/>
  <c r="F16" i="26" s="1"/>
  <c r="D13" i="26"/>
  <c r="D17" i="26"/>
  <c r="H14" i="26"/>
  <c r="D22" i="26"/>
  <c r="D11" i="26"/>
  <c r="D18" i="26"/>
  <c r="D14" i="26"/>
  <c r="C25" i="26"/>
  <c r="D15" i="26"/>
  <c r="D20" i="26"/>
  <c r="D21" i="26"/>
  <c r="C24" i="26"/>
  <c r="D16" i="26"/>
  <c r="D12" i="26"/>
  <c r="D19" i="26"/>
  <c r="F11" i="46" l="1"/>
  <c r="F20" i="46"/>
  <c r="F15" i="46"/>
  <c r="F17" i="47"/>
  <c r="F16" i="47"/>
  <c r="F21" i="47"/>
  <c r="F11" i="47"/>
  <c r="F14" i="47"/>
  <c r="F15" i="47"/>
  <c r="F19" i="47"/>
  <c r="F12" i="47"/>
  <c r="F18" i="47"/>
  <c r="F20" i="47"/>
  <c r="F22" i="47"/>
  <c r="F11" i="45"/>
  <c r="F15" i="45"/>
  <c r="F22" i="45"/>
  <c r="F21" i="45"/>
  <c r="F13" i="45"/>
  <c r="F20" i="45"/>
  <c r="F12" i="45"/>
  <c r="F14" i="45"/>
  <c r="F16" i="45"/>
  <c r="H13" i="47"/>
  <c r="H15" i="47" s="1"/>
  <c r="H13" i="46"/>
  <c r="H15" i="46" s="1"/>
  <c r="H13" i="45"/>
  <c r="H15" i="45" s="1"/>
  <c r="F15" i="43"/>
  <c r="F16" i="43"/>
  <c r="F19" i="43"/>
  <c r="F12" i="43"/>
  <c r="F11" i="43"/>
  <c r="F13" i="43"/>
  <c r="F11" i="42"/>
  <c r="F21" i="42"/>
  <c r="F13" i="42"/>
  <c r="F14" i="42"/>
  <c r="F15" i="42"/>
  <c r="F20" i="42"/>
  <c r="F18" i="42"/>
  <c r="F22" i="42"/>
  <c r="F17" i="42"/>
  <c r="F12" i="42"/>
  <c r="F19" i="42"/>
  <c r="F17" i="43"/>
  <c r="F21" i="43"/>
  <c r="F22" i="43"/>
  <c r="F20" i="43"/>
  <c r="F18" i="43"/>
  <c r="H13" i="43"/>
  <c r="H15" i="43" s="1"/>
  <c r="H13" i="42"/>
  <c r="H15" i="42" s="1"/>
  <c r="F12" i="41"/>
  <c r="F19" i="41"/>
  <c r="F13" i="41"/>
  <c r="F21" i="41"/>
  <c r="F14" i="41"/>
  <c r="F16" i="41"/>
  <c r="F11" i="41"/>
  <c r="F22" i="41"/>
  <c r="F17" i="41"/>
  <c r="H13" i="41"/>
  <c r="H15" i="41" s="1"/>
  <c r="F15" i="41"/>
  <c r="F18" i="41"/>
  <c r="F15" i="34"/>
  <c r="F20" i="34"/>
  <c r="F22" i="34"/>
  <c r="F14" i="34"/>
  <c r="F16" i="34"/>
  <c r="F11" i="34"/>
  <c r="F19" i="34"/>
  <c r="F12" i="34"/>
  <c r="F17" i="34"/>
  <c r="F18" i="34"/>
  <c r="F21" i="34"/>
  <c r="H13" i="34"/>
  <c r="H15" i="34" s="1"/>
  <c r="F13" i="33"/>
  <c r="F16" i="33"/>
  <c r="F21" i="33"/>
  <c r="F14" i="33"/>
  <c r="H13" i="33"/>
  <c r="H15" i="33" s="1"/>
  <c r="F19" i="33"/>
  <c r="F20" i="33"/>
  <c r="F12" i="33"/>
  <c r="F11" i="33"/>
  <c r="F17" i="33"/>
  <c r="F22" i="33"/>
  <c r="F18" i="33"/>
  <c r="F12" i="32"/>
  <c r="F13" i="32"/>
  <c r="F19" i="32"/>
  <c r="F15" i="32"/>
  <c r="F17" i="32"/>
  <c r="H13" i="32"/>
  <c r="H15" i="32" s="1"/>
  <c r="F22" i="32"/>
  <c r="F20" i="32"/>
  <c r="F21" i="32"/>
  <c r="F14" i="39"/>
  <c r="F11" i="39"/>
  <c r="F15" i="39"/>
  <c r="F20" i="39"/>
  <c r="F13" i="39"/>
  <c r="F22" i="39"/>
  <c r="F12" i="39"/>
  <c r="F18" i="39"/>
  <c r="F17" i="39"/>
  <c r="F19" i="39"/>
  <c r="F16" i="39"/>
  <c r="F15" i="40"/>
  <c r="F20" i="40"/>
  <c r="F22" i="40"/>
  <c r="F12" i="40"/>
  <c r="F19" i="40"/>
  <c r="H13" i="40"/>
  <c r="H15" i="40" s="1"/>
  <c r="F21" i="40"/>
  <c r="F16" i="40"/>
  <c r="F14" i="40"/>
  <c r="F11" i="40"/>
  <c r="F17" i="40"/>
  <c r="F18" i="40"/>
  <c r="H13" i="39"/>
  <c r="H15" i="39" s="1"/>
  <c r="F13" i="38"/>
  <c r="F20" i="38"/>
  <c r="H13" i="38"/>
  <c r="H15" i="38" s="1"/>
  <c r="F14" i="38"/>
  <c r="F16" i="38"/>
  <c r="F17" i="38"/>
  <c r="F15" i="38"/>
  <c r="F11" i="38"/>
  <c r="F19" i="38"/>
  <c r="F21" i="38"/>
  <c r="F22" i="38"/>
  <c r="F18" i="38"/>
  <c r="F13" i="37"/>
  <c r="F12" i="37"/>
  <c r="F21" i="37"/>
  <c r="F20" i="37"/>
  <c r="F11" i="37"/>
  <c r="H13" i="37"/>
  <c r="H15" i="37" s="1"/>
  <c r="F19" i="37"/>
  <c r="F14" i="37"/>
  <c r="F15" i="37"/>
  <c r="F18" i="37"/>
  <c r="F22" i="37"/>
  <c r="F17" i="37"/>
  <c r="F20" i="36"/>
  <c r="F15" i="36"/>
  <c r="H13" i="36"/>
  <c r="H15" i="36" s="1"/>
  <c r="F19" i="35"/>
  <c r="H13" i="35"/>
  <c r="H15" i="35" s="1"/>
  <c r="F12" i="35"/>
  <c r="F15" i="35"/>
  <c r="F17" i="35"/>
  <c r="F11" i="35"/>
  <c r="F14" i="35"/>
  <c r="F21" i="35"/>
  <c r="F20" i="35"/>
  <c r="F13" i="35"/>
  <c r="F12" i="31"/>
  <c r="F17" i="31"/>
  <c r="F21" i="31"/>
  <c r="H13" i="31"/>
  <c r="H15" i="31" s="1"/>
  <c r="F22" i="30"/>
  <c r="H13" i="30"/>
  <c r="H15" i="30" s="1"/>
  <c r="F17" i="30"/>
  <c r="F14" i="30"/>
  <c r="F21" i="30"/>
  <c r="F16" i="30"/>
  <c r="F15" i="30"/>
  <c r="F11" i="30"/>
  <c r="F20" i="30"/>
  <c r="F19" i="30"/>
  <c r="F12" i="30"/>
  <c r="F13" i="30"/>
  <c r="H13" i="29"/>
  <c r="H15" i="29" s="1"/>
  <c r="F12" i="29"/>
  <c r="F13" i="28"/>
  <c r="F20" i="28"/>
  <c r="F19" i="28"/>
  <c r="F12" i="28"/>
  <c r="F17" i="28"/>
  <c r="F21" i="28"/>
  <c r="F14" i="28"/>
  <c r="F16" i="28"/>
  <c r="F22" i="28"/>
  <c r="F15" i="28"/>
  <c r="F18" i="28"/>
  <c r="H13" i="28"/>
  <c r="H15" i="28" s="1"/>
  <c r="F22" i="27"/>
  <c r="F21" i="27"/>
  <c r="F12" i="27"/>
  <c r="F18" i="27"/>
  <c r="F14" i="27"/>
  <c r="F11" i="27"/>
  <c r="F20" i="27"/>
  <c r="F19" i="27"/>
  <c r="F17" i="27"/>
  <c r="F16" i="27"/>
  <c r="H13" i="27"/>
  <c r="H15" i="27" s="1"/>
  <c r="F12" i="26"/>
  <c r="F18" i="26"/>
  <c r="F20" i="26"/>
  <c r="F21" i="26"/>
  <c r="F17" i="26"/>
  <c r="F22" i="26"/>
  <c r="F11" i="26"/>
  <c r="F19" i="26"/>
  <c r="F15" i="26"/>
  <c r="F14" i="26"/>
  <c r="F13" i="26"/>
  <c r="F11" i="29"/>
  <c r="F21" i="29"/>
  <c r="F15" i="29"/>
  <c r="F20" i="29"/>
  <c r="F19" i="29"/>
  <c r="F17" i="29"/>
  <c r="F16" i="29"/>
  <c r="F14" i="29"/>
  <c r="F22" i="29"/>
  <c r="F18" i="29"/>
  <c r="H13" i="26"/>
  <c r="H15" i="26" s="1"/>
</calcChain>
</file>

<file path=xl/sharedStrings.xml><?xml version="1.0" encoding="utf-8"?>
<sst xmlns="http://schemas.openxmlformats.org/spreadsheetml/2006/main" count="535" uniqueCount="40">
  <si>
    <t>x</t>
  </si>
  <si>
    <t>y</t>
  </si>
  <si>
    <t>in 1h</t>
  </si>
  <si>
    <t>in 30 min</t>
  </si>
  <si>
    <t>value [mm]</t>
  </si>
  <si>
    <t>in 5 min</t>
  </si>
  <si>
    <t>xi-x[mm]</t>
  </si>
  <si>
    <t>xi-x[ml]</t>
  </si>
  <si>
    <t>value [ml]</t>
  </si>
  <si>
    <t>CU</t>
  </si>
  <si>
    <t>(sum)</t>
  </si>
  <si>
    <t>(average*gauges n)</t>
  </si>
  <si>
    <t>per min</t>
  </si>
  <si>
    <t>Run Info</t>
  </si>
  <si>
    <t>Date</t>
  </si>
  <si>
    <t>Nozzle</t>
  </si>
  <si>
    <t>Pressure (pump)</t>
  </si>
  <si>
    <t>Pressure (valve)</t>
  </si>
  <si>
    <t>Height above surface</t>
  </si>
  <si>
    <t>Run Data</t>
  </si>
  <si>
    <t>3.0 m</t>
  </si>
  <si>
    <t>2 bar</t>
  </si>
  <si>
    <t>Fully open</t>
  </si>
  <si>
    <t>Sprayer used</t>
  </si>
  <si>
    <t>Front</t>
  </si>
  <si>
    <t>1.5 bar</t>
  </si>
  <si>
    <t>2.2 bar (valve fully shut)</t>
  </si>
  <si>
    <t>ID</t>
  </si>
  <si>
    <t>Avg CU%</t>
  </si>
  <si>
    <t>Avg mm/min</t>
  </si>
  <si>
    <t>low</t>
  </si>
  <si>
    <t>med</t>
  </si>
  <si>
    <t>med2</t>
  </si>
  <si>
    <t>med3</t>
  </si>
  <si>
    <t>high</t>
  </si>
  <si>
    <t>high2</t>
  </si>
  <si>
    <t>2.3 bar (valve fully shut AFTER LEAK FIXED)</t>
  </si>
  <si>
    <t>high3</t>
  </si>
  <si>
    <t>2.5 bar</t>
  </si>
  <si>
    <t>2.4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</si>
</sst>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left"/>
    </xf>
    <xf numFmtId="9" fontId="0" fillId="0" borderId="0" xfId="1" applyFont="1"/>
    <xf numFmtId="0" fontId="2" fillId="0" borderId="0" xfId="0" applyFont="1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F443FF-5D74-6743-BDB9-C8E4DCE60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D1FB8C-2682-DA46-933C-F6A3C9F35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8145A-7859-A24A-A6AD-3A6816352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AD09BA-F895-4E4B-A550-CDAC7AE2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8BC6F8-2BB8-3E48-922A-C4222372D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3CF22E-1F37-8F4B-AE47-8C0153DA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410F1-A22B-444F-926E-0A045473E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4235A8-4D59-6F45-AB8B-B4A030BF7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6F58A-A3DC-104B-B4E6-D1C78DB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23C58-35F2-2D45-AA6F-A67380AB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68753-6EC9-8C4E-9EEF-5C921BB42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7B9E9D-74E9-F642-9F2D-C4D958169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DE730-0D57-4147-86A5-71311839A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DF113A-FBA4-DD4D-93D5-93FBA5F80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0E15C-878E-AF49-A965-8D29FDF9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7384A-EB59-624C-AAE9-6CE1F9AB0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B5F39-3808-674C-92A0-D037E774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F92F60-4936-E14C-8AD0-858C6E4D3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E595B7-0D1E-6644-AAC5-AAE69D12F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14AE1A-C369-584C-ABFA-97397CDB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5DF9D-7B6A-4F4D-9DD8-0F3C325E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D8E4C9-8F83-DA46-90DC-7B29F03DC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1C7E9-7DAB-8040-B394-3E2A1BAFC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1624E4-7980-734E-9791-F54B809A4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94996-C963-424E-98D3-4F8B2C21E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0877F3-D705-884B-B3C9-415C3A036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54300A-B8F5-3B43-BEE2-44654957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E1C822-CCCB-A142-992D-EE73EC26E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F6FD1-7056-FF46-815B-139921508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BC6ADF-6BFC-4941-A2BF-524911E0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007E5-02DD-AA4A-A5D9-A3D937A0E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B36301-AA10-C247-9AD3-0C0911360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C6BC9-9095-B445-BDBF-129A6CDDA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5380FF-FFEB-204D-9185-2730AC47D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D5F64-836A-954C-86C2-19B45E27A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7B7DF-2951-7943-A8E3-C07C5C72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A6787-1A83-D74E-B605-F58ECA1A6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8A23D-0B83-A446-B30F-483206410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EE0DA-B3A6-E448-B9E4-CECAF0C1C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1303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8A635D-0A12-7B4D-9E10-1CC1E06B9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3225800"/>
          <a:ext cx="3891280" cy="16877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5</xdr:row>
      <xdr:rowOff>177800</xdr:rowOff>
    </xdr:from>
    <xdr:to>
      <xdr:col>15</xdr:col>
      <xdr:colOff>640919</xdr:colOff>
      <xdr:row>13</xdr:row>
      <xdr:rowOff>21426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5FDAC-3449-5440-B307-773F5E9D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1200" y="177800"/>
          <a:ext cx="3765119" cy="1367626"/>
        </a:xfrm>
        <a:prstGeom prst="rect">
          <a:avLst/>
        </a:prstGeom>
      </xdr:spPr>
    </xdr:pic>
    <xdr:clientData/>
  </xdr:twoCellAnchor>
  <xdr:twoCellAnchor editAs="oneCell">
    <xdr:from>
      <xdr:col>10</xdr:col>
      <xdr:colOff>241300</xdr:colOff>
      <xdr:row>16</xdr:row>
      <xdr:rowOff>177800</xdr:rowOff>
    </xdr:from>
    <xdr:to>
      <xdr:col>16</xdr:col>
      <xdr:colOff>93980</xdr:colOff>
      <xdr:row>25</xdr:row>
      <xdr:rowOff>151035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791CB1-5F75-6B4A-B6AC-544EE6FC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200" y="1701800"/>
          <a:ext cx="3891280" cy="1687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CBBF-C063-1448-98CD-FB7259BF8A94}">
  <dimension ref="A2:C9"/>
  <sheetViews>
    <sheetView workbookViewId="0">
      <selection activeCell="B8" sqref="B8"/>
    </sheetView>
  </sheetViews>
  <sheetFormatPr baseColWidth="10" defaultRowHeight="15" x14ac:dyDescent="0.2"/>
  <cols>
    <col min="2" max="2" width="11.1640625" bestFit="1" customWidth="1"/>
  </cols>
  <sheetData>
    <row r="2" spans="1:3" x14ac:dyDescent="0.2">
      <c r="A2" s="6" t="s">
        <v>27</v>
      </c>
      <c r="B2" s="6" t="s">
        <v>29</v>
      </c>
      <c r="C2" s="6" t="s">
        <v>28</v>
      </c>
    </row>
    <row r="3" spans="1:3" x14ac:dyDescent="0.2">
      <c r="A3" t="s">
        <v>33</v>
      </c>
      <c r="B3" s="8">
        <f>AVERAGE(med3_1!C26, med3_2!C26, med3_3!C26)</f>
        <v>0.82833333333333348</v>
      </c>
      <c r="C3" s="9">
        <f>AVERAGE(med3_1!H15, med3_2!H15, med3_3!H15)</f>
        <v>0.8905874352625397</v>
      </c>
    </row>
    <row r="4" spans="1:3" x14ac:dyDescent="0.2">
      <c r="A4" t="s">
        <v>30</v>
      </c>
      <c r="B4">
        <f>AVERAGE(low_1!C26, low_2!C26, low_3!C26)</f>
        <v>0.93833333333333313</v>
      </c>
      <c r="C4" s="7">
        <f>AVERAGE(low_1!H15, low_2!H15, low_3!H15)</f>
        <v>0.67486661688153082</v>
      </c>
    </row>
    <row r="5" spans="1:3" x14ac:dyDescent="0.2">
      <c r="A5" t="s">
        <v>31</v>
      </c>
      <c r="B5">
        <f>AVERAGE(med_1!C26, med_2!C26, med_3!C26)</f>
        <v>1.0533333333333335</v>
      </c>
      <c r="C5" s="7">
        <f>AVERAGE(med_1!H15, med_2!H15, med_3!H15)</f>
        <v>0.83343287312731162</v>
      </c>
    </row>
    <row r="6" spans="1:3" x14ac:dyDescent="0.2">
      <c r="A6" t="s">
        <v>32</v>
      </c>
      <c r="B6" s="8">
        <f>AVERAGE(med2_1!C26, med2_2!C26, med2_3!C26)</f>
        <v>1.3538888888888889</v>
      </c>
      <c r="C6" s="9">
        <f>AVERAGE(med2_1!H15, med2_2!H15, med2_3!H15)</f>
        <v>0.83186287275671555</v>
      </c>
    </row>
    <row r="7" spans="1:3" x14ac:dyDescent="0.2">
      <c r="A7" t="s">
        <v>34</v>
      </c>
      <c r="B7">
        <f>AVERAGE(high_1!C26, high_2!C26, high_3!C26)</f>
        <v>1.4533333333333331</v>
      </c>
      <c r="C7" s="7">
        <f>AVERAGE(high_1!H15, high_2!H15, high_3!H15)</f>
        <v>0.82494765108046941</v>
      </c>
    </row>
    <row r="8" spans="1:3" x14ac:dyDescent="0.2">
      <c r="A8" t="s">
        <v>35</v>
      </c>
      <c r="B8" s="8">
        <f>AVERAGE(high2_1!C26, high2_2!C26, high2_3!C26)</f>
        <v>1.8266666666666669</v>
      </c>
      <c r="C8" s="9">
        <f>AVERAGE(high2_1!H15, high2_2!H15, high2_3!H15)</f>
        <v>0.79735082079458819</v>
      </c>
    </row>
    <row r="9" spans="1:3" x14ac:dyDescent="0.2">
      <c r="A9" t="s">
        <v>37</v>
      </c>
      <c r="B9">
        <f>AVERAGE(high3_1!C26, high3_2!C26, high3_3!C26)</f>
        <v>1.9405555555555558</v>
      </c>
      <c r="C9" s="7">
        <f>AVERAGE(high3_1!H15, high3_2!H15, high3_3!H15)</f>
        <v>0.76798342795502439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054C-23C3-7A42-B913-01678DCBE528}">
  <dimension ref="A1:I3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26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8.9</v>
      </c>
      <c r="D11" s="3">
        <f t="shared" ref="D11:D22" si="0">ABS(C11-$C$23)</f>
        <v>0.97499999999999964</v>
      </c>
      <c r="E11">
        <f t="shared" ref="E11:E22" si="1">C11*0.001</f>
        <v>8.8999999999999999E-3</v>
      </c>
      <c r="F11" s="2">
        <f t="shared" ref="F11:F22" si="2">ABS(E11-$E$23)</f>
        <v>9.7500000000000017E-4</v>
      </c>
    </row>
    <row r="12" spans="1:9" x14ac:dyDescent="0.2">
      <c r="A12">
        <v>104</v>
      </c>
      <c r="B12">
        <v>100</v>
      </c>
      <c r="C12">
        <v>7.8</v>
      </c>
      <c r="D12" s="3">
        <f t="shared" si="0"/>
        <v>2.0750000000000002</v>
      </c>
      <c r="E12">
        <f t="shared" si="1"/>
        <v>7.7999999999999996E-3</v>
      </c>
      <c r="F12" s="2">
        <f t="shared" si="2"/>
        <v>2.0750000000000005E-3</v>
      </c>
      <c r="H12" t="s">
        <v>9</v>
      </c>
    </row>
    <row r="13" spans="1:9" x14ac:dyDescent="0.2">
      <c r="A13">
        <v>78</v>
      </c>
      <c r="B13">
        <v>25</v>
      </c>
      <c r="C13">
        <v>10.9</v>
      </c>
      <c r="D13" s="3">
        <f t="shared" si="0"/>
        <v>1.0250000000000004</v>
      </c>
      <c r="E13">
        <f t="shared" si="1"/>
        <v>1.09E-2</v>
      </c>
      <c r="F13" s="2">
        <f t="shared" si="2"/>
        <v>1.0249999999999999E-3</v>
      </c>
      <c r="H13" s="3">
        <f>SUM(D11:D35)</f>
        <v>26.049999999999997</v>
      </c>
      <c r="I13" t="s">
        <v>10</v>
      </c>
    </row>
    <row r="14" spans="1:9" x14ac:dyDescent="0.2">
      <c r="A14">
        <v>78</v>
      </c>
      <c r="B14">
        <v>75</v>
      </c>
      <c r="C14">
        <v>13.1</v>
      </c>
      <c r="D14" s="3">
        <f t="shared" si="0"/>
        <v>3.2249999999999996</v>
      </c>
      <c r="E14">
        <f t="shared" si="1"/>
        <v>1.3100000000000001E-2</v>
      </c>
      <c r="F14" s="2">
        <f t="shared" si="2"/>
        <v>3.2250000000000004E-3</v>
      </c>
      <c r="H14">
        <f>C23*12</f>
        <v>118.5</v>
      </c>
      <c r="I14" t="s">
        <v>11</v>
      </c>
    </row>
    <row r="15" spans="1:9" x14ac:dyDescent="0.2">
      <c r="A15">
        <v>78</v>
      </c>
      <c r="B15">
        <v>125</v>
      </c>
      <c r="C15">
        <v>8.8000000000000007</v>
      </c>
      <c r="D15" s="3">
        <f t="shared" si="0"/>
        <v>1.0749999999999993</v>
      </c>
      <c r="E15">
        <f t="shared" si="1"/>
        <v>8.8000000000000005E-3</v>
      </c>
      <c r="F15" s="2">
        <f t="shared" si="2"/>
        <v>1.0749999999999996E-3</v>
      </c>
      <c r="H15" s="5">
        <f>1-(H13/H14)</f>
        <v>0.7801687763713081</v>
      </c>
    </row>
    <row r="16" spans="1:9" x14ac:dyDescent="0.2">
      <c r="A16">
        <v>52</v>
      </c>
      <c r="B16">
        <v>50</v>
      </c>
      <c r="C16">
        <v>13.1</v>
      </c>
      <c r="D16" s="3">
        <f t="shared" si="0"/>
        <v>3.2249999999999996</v>
      </c>
      <c r="E16">
        <f t="shared" si="1"/>
        <v>1.3100000000000001E-2</v>
      </c>
      <c r="F16" s="2">
        <f t="shared" si="2"/>
        <v>3.2250000000000004E-3</v>
      </c>
    </row>
    <row r="17" spans="1:6" x14ac:dyDescent="0.2">
      <c r="A17">
        <v>52</v>
      </c>
      <c r="B17">
        <v>100</v>
      </c>
      <c r="C17">
        <v>14.8</v>
      </c>
      <c r="D17" s="3">
        <f t="shared" si="0"/>
        <v>4.9250000000000007</v>
      </c>
      <c r="E17">
        <f t="shared" si="1"/>
        <v>1.4800000000000001E-2</v>
      </c>
      <c r="F17" s="2">
        <f t="shared" si="2"/>
        <v>4.9250000000000006E-3</v>
      </c>
    </row>
    <row r="18" spans="1:6" x14ac:dyDescent="0.2">
      <c r="A18">
        <v>26</v>
      </c>
      <c r="B18">
        <v>25</v>
      </c>
      <c r="C18">
        <v>7.1</v>
      </c>
      <c r="D18" s="3">
        <f t="shared" si="0"/>
        <v>2.7750000000000004</v>
      </c>
      <c r="E18">
        <f t="shared" si="1"/>
        <v>7.0999999999999995E-3</v>
      </c>
      <c r="F18" s="2">
        <f t="shared" si="2"/>
        <v>2.7750000000000006E-3</v>
      </c>
    </row>
    <row r="19" spans="1:6" x14ac:dyDescent="0.2">
      <c r="A19">
        <v>26</v>
      </c>
      <c r="B19">
        <v>75</v>
      </c>
      <c r="C19">
        <v>10.5</v>
      </c>
      <c r="D19" s="3">
        <f t="shared" si="0"/>
        <v>0.625</v>
      </c>
      <c r="E19">
        <f t="shared" si="1"/>
        <v>1.0500000000000001E-2</v>
      </c>
      <c r="F19" s="2">
        <f t="shared" si="2"/>
        <v>6.2500000000000056E-4</v>
      </c>
    </row>
    <row r="20" spans="1:6" x14ac:dyDescent="0.2">
      <c r="A20">
        <v>26</v>
      </c>
      <c r="B20">
        <v>125</v>
      </c>
      <c r="C20">
        <v>9.4</v>
      </c>
      <c r="D20" s="3">
        <f t="shared" si="0"/>
        <v>0.47499999999999964</v>
      </c>
      <c r="E20">
        <f t="shared" si="1"/>
        <v>9.4000000000000004E-3</v>
      </c>
      <c r="F20" s="2">
        <f t="shared" si="2"/>
        <v>4.7499999999999973E-4</v>
      </c>
    </row>
    <row r="21" spans="1:6" x14ac:dyDescent="0.2">
      <c r="A21">
        <v>0</v>
      </c>
      <c r="B21">
        <v>50</v>
      </c>
      <c r="C21">
        <v>6.6</v>
      </c>
      <c r="D21" s="3">
        <f t="shared" si="0"/>
        <v>3.2750000000000004</v>
      </c>
      <c r="E21">
        <f t="shared" si="1"/>
        <v>6.6E-3</v>
      </c>
      <c r="F21" s="2">
        <f t="shared" si="2"/>
        <v>3.2750000000000001E-3</v>
      </c>
    </row>
    <row r="22" spans="1:6" x14ac:dyDescent="0.2">
      <c r="A22">
        <v>0</v>
      </c>
      <c r="B22">
        <v>100</v>
      </c>
      <c r="C22">
        <v>7.5</v>
      </c>
      <c r="D22" s="3">
        <f t="shared" si="0"/>
        <v>2.375</v>
      </c>
      <c r="E22">
        <f t="shared" si="1"/>
        <v>7.4999999999999997E-3</v>
      </c>
      <c r="F22" s="2">
        <f t="shared" si="2"/>
        <v>2.3750000000000004E-3</v>
      </c>
    </row>
    <row r="23" spans="1:6" x14ac:dyDescent="0.2">
      <c r="C23" s="3">
        <f>AVERAGE(C11:C22)</f>
        <v>9.875</v>
      </c>
      <c r="D23" t="s">
        <v>5</v>
      </c>
      <c r="E23" s="4">
        <f>AVERAGE(E11:E22)</f>
        <v>9.8750000000000001E-3</v>
      </c>
    </row>
    <row r="24" spans="1:6" x14ac:dyDescent="0.2">
      <c r="C24">
        <f>C23*12</f>
        <v>118.5</v>
      </c>
      <c r="D24" t="s">
        <v>2</v>
      </c>
    </row>
    <row r="25" spans="1:6" x14ac:dyDescent="0.2">
      <c r="C25">
        <f>C23*6</f>
        <v>59.25</v>
      </c>
      <c r="D25" t="s">
        <v>3</v>
      </c>
      <c r="F25" s="2"/>
    </row>
    <row r="26" spans="1:6" x14ac:dyDescent="0.2">
      <c r="C26">
        <f>C23/5</f>
        <v>1.9750000000000001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B3A6-B649-5C41-A4EA-E0B0D34044CD}">
  <dimension ref="A1:I3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26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9.4</v>
      </c>
      <c r="D11" s="3">
        <f t="shared" ref="D11:D22" si="0">ABS(C11-$C$23)</f>
        <v>0.24166666666666714</v>
      </c>
      <c r="E11">
        <f t="shared" ref="E11:E22" si="1">C11*0.001</f>
        <v>9.4000000000000004E-3</v>
      </c>
      <c r="F11" s="2">
        <f t="shared" ref="F11:F22" si="2">ABS(E11-$E$23)</f>
        <v>2.4166666666666607E-4</v>
      </c>
    </row>
    <row r="12" spans="1:9" x14ac:dyDescent="0.2">
      <c r="A12">
        <v>104</v>
      </c>
      <c r="B12">
        <v>100</v>
      </c>
      <c r="C12">
        <v>8.1999999999999993</v>
      </c>
      <c r="D12" s="3">
        <f t="shared" si="0"/>
        <v>1.4416666666666682</v>
      </c>
      <c r="E12">
        <f t="shared" si="1"/>
        <v>8.199999999999999E-3</v>
      </c>
      <c r="F12" s="2">
        <f t="shared" si="2"/>
        <v>1.4416666666666675E-3</v>
      </c>
      <c r="H12" t="s">
        <v>9</v>
      </c>
    </row>
    <row r="13" spans="1:9" x14ac:dyDescent="0.2">
      <c r="A13">
        <v>78</v>
      </c>
      <c r="B13">
        <v>25</v>
      </c>
      <c r="C13">
        <v>10.5</v>
      </c>
      <c r="D13" s="3">
        <f t="shared" si="0"/>
        <v>0.8583333333333325</v>
      </c>
      <c r="E13">
        <f t="shared" si="1"/>
        <v>1.0500000000000001E-2</v>
      </c>
      <c r="F13" s="2">
        <f t="shared" si="2"/>
        <v>8.5833333333333421E-4</v>
      </c>
      <c r="H13" s="3">
        <f>SUM(D11:D35)</f>
        <v>26.466666666666672</v>
      </c>
      <c r="I13" t="s">
        <v>10</v>
      </c>
    </row>
    <row r="14" spans="1:9" x14ac:dyDescent="0.2">
      <c r="A14">
        <v>78</v>
      </c>
      <c r="B14">
        <v>75</v>
      </c>
      <c r="C14">
        <v>14.6</v>
      </c>
      <c r="D14" s="3">
        <f t="shared" si="0"/>
        <v>4.9583333333333321</v>
      </c>
      <c r="E14">
        <f t="shared" si="1"/>
        <v>1.46E-2</v>
      </c>
      <c r="F14" s="2">
        <f t="shared" si="2"/>
        <v>4.9583333333333337E-3</v>
      </c>
      <c r="H14">
        <f>C23*12</f>
        <v>115.70000000000002</v>
      </c>
      <c r="I14" t="s">
        <v>11</v>
      </c>
    </row>
    <row r="15" spans="1:9" x14ac:dyDescent="0.2">
      <c r="A15">
        <v>78</v>
      </c>
      <c r="B15">
        <v>125</v>
      </c>
      <c r="C15">
        <v>9.4</v>
      </c>
      <c r="D15" s="3">
        <f t="shared" si="0"/>
        <v>0.24166666666666714</v>
      </c>
      <c r="E15">
        <f t="shared" si="1"/>
        <v>9.4000000000000004E-3</v>
      </c>
      <c r="F15" s="2">
        <f t="shared" si="2"/>
        <v>2.4166666666666607E-4</v>
      </c>
      <c r="H15" s="5">
        <f>1-(H13/H14)</f>
        <v>0.77124747911264757</v>
      </c>
    </row>
    <row r="16" spans="1:9" x14ac:dyDescent="0.2">
      <c r="A16">
        <v>52</v>
      </c>
      <c r="B16">
        <v>50</v>
      </c>
      <c r="C16">
        <v>11.8</v>
      </c>
      <c r="D16" s="3">
        <f t="shared" si="0"/>
        <v>2.1583333333333332</v>
      </c>
      <c r="E16">
        <f t="shared" si="1"/>
        <v>1.1800000000000001E-2</v>
      </c>
      <c r="F16" s="2">
        <f t="shared" si="2"/>
        <v>2.158333333333335E-3</v>
      </c>
    </row>
    <row r="17" spans="1:6" x14ac:dyDescent="0.2">
      <c r="A17">
        <v>52</v>
      </c>
      <c r="B17">
        <v>100</v>
      </c>
      <c r="C17">
        <v>14.9</v>
      </c>
      <c r="D17" s="3">
        <f t="shared" si="0"/>
        <v>5.2583333333333329</v>
      </c>
      <c r="E17">
        <f t="shared" si="1"/>
        <v>1.49E-2</v>
      </c>
      <c r="F17" s="2">
        <f t="shared" si="2"/>
        <v>5.2583333333333336E-3</v>
      </c>
    </row>
    <row r="18" spans="1:6" x14ac:dyDescent="0.2">
      <c r="A18">
        <v>26</v>
      </c>
      <c r="B18">
        <v>25</v>
      </c>
      <c r="C18">
        <v>6.2</v>
      </c>
      <c r="D18" s="3">
        <f t="shared" si="0"/>
        <v>3.4416666666666673</v>
      </c>
      <c r="E18">
        <f t="shared" si="1"/>
        <v>6.2000000000000006E-3</v>
      </c>
      <c r="F18" s="2">
        <f t="shared" si="2"/>
        <v>3.4416666666666658E-3</v>
      </c>
    </row>
    <row r="19" spans="1:6" x14ac:dyDescent="0.2">
      <c r="A19">
        <v>26</v>
      </c>
      <c r="B19">
        <v>75</v>
      </c>
      <c r="C19">
        <v>9</v>
      </c>
      <c r="D19" s="3">
        <f t="shared" si="0"/>
        <v>0.6416666666666675</v>
      </c>
      <c r="E19">
        <f t="shared" si="1"/>
        <v>9.0000000000000011E-3</v>
      </c>
      <c r="F19" s="2">
        <f t="shared" si="2"/>
        <v>6.4166666666666539E-4</v>
      </c>
    </row>
    <row r="20" spans="1:6" x14ac:dyDescent="0.2">
      <c r="A20">
        <v>26</v>
      </c>
      <c r="B20">
        <v>125</v>
      </c>
      <c r="C20">
        <v>9.1999999999999993</v>
      </c>
      <c r="D20" s="3">
        <f t="shared" si="0"/>
        <v>0.44166666666666821</v>
      </c>
      <c r="E20">
        <f t="shared" si="1"/>
        <v>9.1999999999999998E-3</v>
      </c>
      <c r="F20" s="2">
        <f t="shared" si="2"/>
        <v>4.416666666666666E-4</v>
      </c>
    </row>
    <row r="21" spans="1:6" x14ac:dyDescent="0.2">
      <c r="A21">
        <v>0</v>
      </c>
      <c r="B21">
        <v>50</v>
      </c>
      <c r="C21">
        <v>5.7</v>
      </c>
      <c r="D21" s="3">
        <f t="shared" si="0"/>
        <v>3.9416666666666673</v>
      </c>
      <c r="E21">
        <f t="shared" si="1"/>
        <v>5.7000000000000002E-3</v>
      </c>
      <c r="F21" s="2">
        <f t="shared" si="2"/>
        <v>3.9416666666666662E-3</v>
      </c>
    </row>
    <row r="22" spans="1:6" x14ac:dyDescent="0.2">
      <c r="A22">
        <v>0</v>
      </c>
      <c r="B22">
        <v>100</v>
      </c>
      <c r="C22">
        <v>6.8</v>
      </c>
      <c r="D22" s="3">
        <f t="shared" si="0"/>
        <v>2.8416666666666677</v>
      </c>
      <c r="E22">
        <f t="shared" si="1"/>
        <v>6.7999999999999996E-3</v>
      </c>
      <c r="F22" s="2">
        <f t="shared" si="2"/>
        <v>2.8416666666666668E-3</v>
      </c>
    </row>
    <row r="23" spans="1:6" x14ac:dyDescent="0.2">
      <c r="C23" s="3">
        <f>AVERAGE(C11:C22)</f>
        <v>9.6416666666666675</v>
      </c>
      <c r="D23" t="s">
        <v>5</v>
      </c>
      <c r="E23" s="4">
        <f>AVERAGE(E11:E22)</f>
        <v>9.6416666666666664E-3</v>
      </c>
    </row>
    <row r="24" spans="1:6" x14ac:dyDescent="0.2">
      <c r="C24">
        <f>C23*12</f>
        <v>115.70000000000002</v>
      </c>
      <c r="D24" t="s">
        <v>2</v>
      </c>
    </row>
    <row r="25" spans="1:6" x14ac:dyDescent="0.2">
      <c r="C25">
        <f>C23*6</f>
        <v>57.850000000000009</v>
      </c>
      <c r="D25" t="s">
        <v>3</v>
      </c>
      <c r="F25" s="2"/>
    </row>
    <row r="26" spans="1:6" x14ac:dyDescent="0.2">
      <c r="C26">
        <f>C23/5</f>
        <v>1.9283333333333335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BCC0-2967-0A47-8212-8E307C64D8A8}">
  <dimension ref="A1:I3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36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8.9</v>
      </c>
      <c r="D11" s="3">
        <f t="shared" ref="D11:D22" si="0">ABS(C11-$C$23)</f>
        <v>0.69166666666666643</v>
      </c>
      <c r="E11">
        <f t="shared" ref="E11:E22" si="1">C11*0.001</f>
        <v>8.8999999999999999E-3</v>
      </c>
      <c r="F11" s="2">
        <f t="shared" ref="F11:F22" si="2">ABS(E11-$E$23)</f>
        <v>6.9166666666666682E-4</v>
      </c>
    </row>
    <row r="12" spans="1:9" x14ac:dyDescent="0.2">
      <c r="A12">
        <v>104</v>
      </c>
      <c r="B12">
        <v>100</v>
      </c>
      <c r="C12">
        <v>8</v>
      </c>
      <c r="D12" s="3">
        <f t="shared" si="0"/>
        <v>1.5916666666666668</v>
      </c>
      <c r="E12">
        <f t="shared" si="1"/>
        <v>8.0000000000000002E-3</v>
      </c>
      <c r="F12" s="2">
        <f t="shared" si="2"/>
        <v>1.5916666666666666E-3</v>
      </c>
      <c r="H12" t="s">
        <v>9</v>
      </c>
    </row>
    <row r="13" spans="1:9" x14ac:dyDescent="0.2">
      <c r="A13">
        <v>78</v>
      </c>
      <c r="B13">
        <v>25</v>
      </c>
      <c r="C13">
        <v>10.3</v>
      </c>
      <c r="D13" s="3">
        <f t="shared" si="0"/>
        <v>0.70833333333333393</v>
      </c>
      <c r="E13">
        <f t="shared" si="1"/>
        <v>1.03E-2</v>
      </c>
      <c r="F13" s="2">
        <f t="shared" si="2"/>
        <v>7.0833333333333338E-4</v>
      </c>
      <c r="H13" s="3">
        <f>SUM(D11:D35)</f>
        <v>28.483333333333338</v>
      </c>
      <c r="I13" t="s">
        <v>10</v>
      </c>
    </row>
    <row r="14" spans="1:9" x14ac:dyDescent="0.2">
      <c r="A14">
        <v>78</v>
      </c>
      <c r="B14">
        <v>75</v>
      </c>
      <c r="C14">
        <v>13</v>
      </c>
      <c r="D14" s="3">
        <f t="shared" si="0"/>
        <v>3.4083333333333332</v>
      </c>
      <c r="E14">
        <f t="shared" si="1"/>
        <v>1.3000000000000001E-2</v>
      </c>
      <c r="F14" s="2">
        <f t="shared" si="2"/>
        <v>3.4083333333333344E-3</v>
      </c>
      <c r="H14">
        <f>C23*12</f>
        <v>115.1</v>
      </c>
      <c r="I14" t="s">
        <v>11</v>
      </c>
    </row>
    <row r="15" spans="1:9" x14ac:dyDescent="0.2">
      <c r="A15">
        <v>78</v>
      </c>
      <c r="B15">
        <v>125</v>
      </c>
      <c r="C15">
        <v>13.8</v>
      </c>
      <c r="D15" s="3">
        <f t="shared" si="0"/>
        <v>4.2083333333333339</v>
      </c>
      <c r="E15">
        <f t="shared" si="1"/>
        <v>1.3800000000000002E-2</v>
      </c>
      <c r="F15" s="2">
        <f t="shared" si="2"/>
        <v>4.2083333333333348E-3</v>
      </c>
      <c r="H15" s="5">
        <f>1-(H13/H14)</f>
        <v>0.75253402838111783</v>
      </c>
    </row>
    <row r="16" spans="1:9" x14ac:dyDescent="0.2">
      <c r="A16">
        <v>52</v>
      </c>
      <c r="B16">
        <v>50</v>
      </c>
      <c r="C16">
        <v>11.3</v>
      </c>
      <c r="D16" s="3">
        <f t="shared" si="0"/>
        <v>1.7083333333333339</v>
      </c>
      <c r="E16">
        <f t="shared" si="1"/>
        <v>1.1300000000000001E-2</v>
      </c>
      <c r="F16" s="2">
        <f t="shared" si="2"/>
        <v>1.7083333333333343E-3</v>
      </c>
    </row>
    <row r="17" spans="1:6" x14ac:dyDescent="0.2">
      <c r="A17">
        <v>52</v>
      </c>
      <c r="B17">
        <v>100</v>
      </c>
      <c r="C17">
        <v>13.8</v>
      </c>
      <c r="D17" s="3">
        <f t="shared" si="0"/>
        <v>4.2083333333333339</v>
      </c>
      <c r="E17">
        <f t="shared" si="1"/>
        <v>1.3800000000000002E-2</v>
      </c>
      <c r="F17" s="2">
        <f t="shared" si="2"/>
        <v>4.2083333333333348E-3</v>
      </c>
    </row>
    <row r="18" spans="1:6" x14ac:dyDescent="0.2">
      <c r="A18">
        <v>26</v>
      </c>
      <c r="B18">
        <v>25</v>
      </c>
      <c r="C18">
        <v>6.3</v>
      </c>
      <c r="D18" s="3">
        <f t="shared" si="0"/>
        <v>3.291666666666667</v>
      </c>
      <c r="E18">
        <f t="shared" si="1"/>
        <v>6.3E-3</v>
      </c>
      <c r="F18" s="2">
        <f t="shared" si="2"/>
        <v>3.2916666666666667E-3</v>
      </c>
    </row>
    <row r="19" spans="1:6" x14ac:dyDescent="0.2">
      <c r="A19">
        <v>26</v>
      </c>
      <c r="B19">
        <v>75</v>
      </c>
      <c r="C19">
        <v>8.9</v>
      </c>
      <c r="D19" s="3">
        <f t="shared" si="0"/>
        <v>0.69166666666666643</v>
      </c>
      <c r="E19">
        <f t="shared" si="1"/>
        <v>8.8999999999999999E-3</v>
      </c>
      <c r="F19" s="2">
        <f t="shared" si="2"/>
        <v>6.9166666666666682E-4</v>
      </c>
    </row>
    <row r="20" spans="1:6" x14ac:dyDescent="0.2">
      <c r="A20">
        <v>26</v>
      </c>
      <c r="B20">
        <v>125</v>
      </c>
      <c r="C20">
        <v>8.8000000000000007</v>
      </c>
      <c r="D20" s="3">
        <f t="shared" si="0"/>
        <v>0.79166666666666607</v>
      </c>
      <c r="E20">
        <f t="shared" si="1"/>
        <v>8.8000000000000005E-3</v>
      </c>
      <c r="F20" s="2">
        <f t="shared" si="2"/>
        <v>7.9166666666666621E-4</v>
      </c>
    </row>
    <row r="21" spans="1:6" x14ac:dyDescent="0.2">
      <c r="A21">
        <v>0</v>
      </c>
      <c r="B21">
        <v>50</v>
      </c>
      <c r="C21">
        <v>5.0999999999999996</v>
      </c>
      <c r="D21" s="3">
        <f t="shared" si="0"/>
        <v>4.4916666666666671</v>
      </c>
      <c r="E21">
        <f t="shared" si="1"/>
        <v>5.0999999999999995E-3</v>
      </c>
      <c r="F21" s="2">
        <f t="shared" si="2"/>
        <v>4.4916666666666672E-3</v>
      </c>
    </row>
    <row r="22" spans="1:6" x14ac:dyDescent="0.2">
      <c r="A22">
        <v>0</v>
      </c>
      <c r="B22">
        <v>100</v>
      </c>
      <c r="C22">
        <v>6.9</v>
      </c>
      <c r="D22" s="3">
        <f t="shared" si="0"/>
        <v>2.6916666666666664</v>
      </c>
      <c r="E22">
        <f t="shared" si="1"/>
        <v>6.9000000000000008E-3</v>
      </c>
      <c r="F22" s="2">
        <f t="shared" si="2"/>
        <v>2.691666666666666E-3</v>
      </c>
    </row>
    <row r="23" spans="1:6" x14ac:dyDescent="0.2">
      <c r="C23" s="3">
        <f>AVERAGE(C11:C22)</f>
        <v>9.5916666666666668</v>
      </c>
      <c r="D23" t="s">
        <v>5</v>
      </c>
      <c r="E23" s="4">
        <f>AVERAGE(E11:E22)</f>
        <v>9.5916666666666667E-3</v>
      </c>
    </row>
    <row r="24" spans="1:6" x14ac:dyDescent="0.2">
      <c r="C24">
        <f>C23*12</f>
        <v>115.1</v>
      </c>
      <c r="D24" t="s">
        <v>2</v>
      </c>
    </row>
    <row r="25" spans="1:6" x14ac:dyDescent="0.2">
      <c r="C25">
        <f>C23*6</f>
        <v>57.55</v>
      </c>
      <c r="D25" t="s">
        <v>3</v>
      </c>
      <c r="F25" s="2"/>
    </row>
    <row r="26" spans="1:6" x14ac:dyDescent="0.2">
      <c r="C26">
        <f>C23/5</f>
        <v>1.9183333333333334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9F8C-13DC-EE44-B839-2B78F635B684}">
  <dimension ref="A1:I35"/>
  <sheetViews>
    <sheetView tabSelected="1" workbookViewId="0">
      <selection activeCell="C4" sqref="C4:D4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39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8.8000000000000007</v>
      </c>
      <c r="D11" s="3">
        <f t="shared" ref="D11:D22" si="0">ABS(C11-$C$23)</f>
        <v>0.4166666666666643</v>
      </c>
      <c r="E11">
        <f t="shared" ref="E11:E22" si="1">C11*0.001</f>
        <v>8.8000000000000005E-3</v>
      </c>
      <c r="F11" s="2">
        <f t="shared" ref="F11:F22" si="2">ABS(E11-$E$23)</f>
        <v>4.1666666666666588E-4</v>
      </c>
    </row>
    <row r="12" spans="1:9" x14ac:dyDescent="0.2">
      <c r="A12">
        <v>104</v>
      </c>
      <c r="B12">
        <v>100</v>
      </c>
      <c r="C12">
        <v>8</v>
      </c>
      <c r="D12" s="3">
        <f t="shared" si="0"/>
        <v>1.216666666666665</v>
      </c>
      <c r="E12">
        <f t="shared" si="1"/>
        <v>8.0000000000000002E-3</v>
      </c>
      <c r="F12" s="2">
        <f t="shared" si="2"/>
        <v>1.2166666666666662E-3</v>
      </c>
      <c r="H12" t="s">
        <v>9</v>
      </c>
    </row>
    <row r="13" spans="1:9" x14ac:dyDescent="0.2">
      <c r="A13">
        <v>78</v>
      </c>
      <c r="B13">
        <v>25</v>
      </c>
      <c r="C13">
        <v>10</v>
      </c>
      <c r="D13" s="3">
        <f t="shared" si="0"/>
        <v>0.78333333333333499</v>
      </c>
      <c r="E13">
        <f t="shared" si="1"/>
        <v>0.01</v>
      </c>
      <c r="F13" s="2">
        <f t="shared" si="2"/>
        <v>7.833333333333338E-4</v>
      </c>
      <c r="H13" s="3">
        <f>SUM(D11:D35)</f>
        <v>22.633333333333329</v>
      </c>
      <c r="I13" t="s">
        <v>10</v>
      </c>
    </row>
    <row r="14" spans="1:9" x14ac:dyDescent="0.2">
      <c r="A14">
        <v>78</v>
      </c>
      <c r="B14">
        <v>75</v>
      </c>
      <c r="C14">
        <v>13.2</v>
      </c>
      <c r="D14" s="3">
        <f t="shared" si="0"/>
        <v>3.9833333333333343</v>
      </c>
      <c r="E14">
        <f t="shared" si="1"/>
        <v>1.32E-2</v>
      </c>
      <c r="F14" s="2">
        <f t="shared" si="2"/>
        <v>3.9833333333333335E-3</v>
      </c>
      <c r="H14">
        <f>C23*12</f>
        <v>110.59999999999998</v>
      </c>
      <c r="I14" t="s">
        <v>11</v>
      </c>
    </row>
    <row r="15" spans="1:9" x14ac:dyDescent="0.2">
      <c r="A15">
        <v>78</v>
      </c>
      <c r="B15">
        <v>125</v>
      </c>
      <c r="C15">
        <v>8.9</v>
      </c>
      <c r="D15" s="3">
        <f t="shared" si="0"/>
        <v>0.31666666666666465</v>
      </c>
      <c r="E15">
        <f t="shared" si="1"/>
        <v>8.8999999999999999E-3</v>
      </c>
      <c r="F15" s="2">
        <f t="shared" si="2"/>
        <v>3.1666666666666649E-4</v>
      </c>
      <c r="H15" s="5">
        <f>1-(H13/H14)</f>
        <v>0.79535864978902948</v>
      </c>
    </row>
    <row r="16" spans="1:9" x14ac:dyDescent="0.2">
      <c r="A16">
        <v>52</v>
      </c>
      <c r="B16">
        <v>50</v>
      </c>
      <c r="C16">
        <v>11.4</v>
      </c>
      <c r="D16" s="3">
        <f t="shared" si="0"/>
        <v>2.1833333333333353</v>
      </c>
      <c r="E16">
        <f t="shared" si="1"/>
        <v>1.14E-2</v>
      </c>
      <c r="F16" s="2">
        <f t="shared" si="2"/>
        <v>2.183333333333334E-3</v>
      </c>
    </row>
    <row r="17" spans="1:6" x14ac:dyDescent="0.2">
      <c r="A17">
        <v>52</v>
      </c>
      <c r="B17">
        <v>100</v>
      </c>
      <c r="C17">
        <v>13.5</v>
      </c>
      <c r="D17" s="3">
        <f t="shared" si="0"/>
        <v>4.283333333333335</v>
      </c>
      <c r="E17">
        <f t="shared" si="1"/>
        <v>1.35E-2</v>
      </c>
      <c r="F17" s="2">
        <f t="shared" si="2"/>
        <v>4.2833333333333334E-3</v>
      </c>
    </row>
    <row r="18" spans="1:6" x14ac:dyDescent="0.2">
      <c r="A18">
        <v>26</v>
      </c>
      <c r="B18">
        <v>25</v>
      </c>
      <c r="C18">
        <v>6.1</v>
      </c>
      <c r="D18" s="3">
        <f t="shared" si="0"/>
        <v>3.1166666666666654</v>
      </c>
      <c r="E18">
        <f t="shared" si="1"/>
        <v>6.0999999999999995E-3</v>
      </c>
      <c r="F18" s="2">
        <f t="shared" si="2"/>
        <v>3.1166666666666669E-3</v>
      </c>
    </row>
    <row r="19" spans="1:6" x14ac:dyDescent="0.2">
      <c r="A19">
        <v>26</v>
      </c>
      <c r="B19">
        <v>75</v>
      </c>
      <c r="C19">
        <v>9.3000000000000007</v>
      </c>
      <c r="D19" s="3">
        <f t="shared" si="0"/>
        <v>8.3333333333335702E-2</v>
      </c>
      <c r="E19">
        <f t="shared" si="1"/>
        <v>9.300000000000001E-3</v>
      </c>
      <c r="F19" s="2">
        <f t="shared" si="2"/>
        <v>8.3333333333334564E-5</v>
      </c>
    </row>
    <row r="20" spans="1:6" x14ac:dyDescent="0.2">
      <c r="A20">
        <v>26</v>
      </c>
      <c r="B20">
        <v>125</v>
      </c>
      <c r="C20">
        <v>9.1</v>
      </c>
      <c r="D20" s="3">
        <f t="shared" si="0"/>
        <v>0.11666666666666536</v>
      </c>
      <c r="E20">
        <f t="shared" si="1"/>
        <v>9.1000000000000004E-3</v>
      </c>
      <c r="F20" s="2">
        <f t="shared" si="2"/>
        <v>1.1666666666666596E-4</v>
      </c>
    </row>
    <row r="21" spans="1:6" x14ac:dyDescent="0.2">
      <c r="A21">
        <v>0</v>
      </c>
      <c r="B21">
        <v>50</v>
      </c>
      <c r="C21">
        <v>5.5</v>
      </c>
      <c r="D21" s="3">
        <f t="shared" si="0"/>
        <v>3.716666666666665</v>
      </c>
      <c r="E21">
        <f t="shared" si="1"/>
        <v>5.4999999999999997E-3</v>
      </c>
      <c r="F21" s="2">
        <f t="shared" si="2"/>
        <v>3.7166666666666667E-3</v>
      </c>
    </row>
    <row r="22" spans="1:6" x14ac:dyDescent="0.2">
      <c r="A22">
        <v>0</v>
      </c>
      <c r="B22">
        <v>100</v>
      </c>
      <c r="C22">
        <v>6.8</v>
      </c>
      <c r="D22" s="3">
        <f t="shared" si="0"/>
        <v>2.4166666666666652</v>
      </c>
      <c r="E22">
        <f t="shared" si="1"/>
        <v>6.7999999999999996E-3</v>
      </c>
      <c r="F22" s="2">
        <f t="shared" si="2"/>
        <v>2.4166666666666668E-3</v>
      </c>
    </row>
    <row r="23" spans="1:6" x14ac:dyDescent="0.2">
      <c r="C23" s="3">
        <f>AVERAGE(C11:C22)</f>
        <v>9.216666666666665</v>
      </c>
      <c r="D23" t="s">
        <v>5</v>
      </c>
      <c r="E23" s="4">
        <f>AVERAGE(E11:E22)</f>
        <v>9.2166666666666664E-3</v>
      </c>
    </row>
    <row r="24" spans="1:6" x14ac:dyDescent="0.2">
      <c r="C24">
        <f>C23*12</f>
        <v>110.59999999999998</v>
      </c>
      <c r="D24" t="s">
        <v>2</v>
      </c>
    </row>
    <row r="25" spans="1:6" x14ac:dyDescent="0.2">
      <c r="C25">
        <f>C23*6</f>
        <v>55.29999999999999</v>
      </c>
      <c r="D25" t="s">
        <v>3</v>
      </c>
      <c r="F25" s="2"/>
    </row>
    <row r="26" spans="1:6" x14ac:dyDescent="0.2">
      <c r="C26">
        <f>C23/5</f>
        <v>1.843333333333333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09AC-F336-FC4D-A2DF-2BCB8679FAE1}">
  <dimension ref="A1:I35"/>
  <sheetViews>
    <sheetView workbookViewId="0">
      <selection activeCell="C4" sqref="C4:D4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39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8.8000000000000007</v>
      </c>
      <c r="D11" s="3">
        <f t="shared" ref="D11:D22" si="0">ABS(C11-$C$23)</f>
        <v>0.52500000000000036</v>
      </c>
      <c r="E11">
        <f t="shared" ref="E11:E22" si="1">C11*0.001</f>
        <v>8.8000000000000005E-3</v>
      </c>
      <c r="F11" s="2">
        <f t="shared" ref="F11:F22" si="2">ABS(E11-$E$23)</f>
        <v>5.2500000000000116E-4</v>
      </c>
    </row>
    <row r="12" spans="1:9" x14ac:dyDescent="0.2">
      <c r="A12">
        <v>104</v>
      </c>
      <c r="B12">
        <v>100</v>
      </c>
      <c r="C12">
        <v>8</v>
      </c>
      <c r="D12" s="3">
        <f t="shared" si="0"/>
        <v>1.3250000000000011</v>
      </c>
      <c r="E12">
        <f t="shared" si="1"/>
        <v>8.0000000000000002E-3</v>
      </c>
      <c r="F12" s="2">
        <f t="shared" si="2"/>
        <v>1.3250000000000015E-3</v>
      </c>
      <c r="H12" t="s">
        <v>9</v>
      </c>
    </row>
    <row r="13" spans="1:9" x14ac:dyDescent="0.2">
      <c r="A13">
        <v>78</v>
      </c>
      <c r="B13">
        <v>25</v>
      </c>
      <c r="C13">
        <v>8.6999999999999993</v>
      </c>
      <c r="D13" s="3">
        <f t="shared" si="0"/>
        <v>0.62500000000000178</v>
      </c>
      <c r="E13">
        <f t="shared" si="1"/>
        <v>8.6999999999999994E-3</v>
      </c>
      <c r="F13" s="2">
        <f t="shared" si="2"/>
        <v>6.2500000000000229E-4</v>
      </c>
      <c r="H13" s="3">
        <f>SUM(D11:D35)</f>
        <v>23.549999999999997</v>
      </c>
      <c r="I13" t="s">
        <v>10</v>
      </c>
    </row>
    <row r="14" spans="1:9" x14ac:dyDescent="0.2">
      <c r="A14">
        <v>78</v>
      </c>
      <c r="B14">
        <v>75</v>
      </c>
      <c r="C14">
        <v>13</v>
      </c>
      <c r="D14" s="3">
        <f t="shared" si="0"/>
        <v>3.6749999999999989</v>
      </c>
      <c r="E14">
        <f t="shared" si="1"/>
        <v>1.3000000000000001E-2</v>
      </c>
      <c r="F14" s="2">
        <f t="shared" si="2"/>
        <v>3.6749999999999994E-3</v>
      </c>
      <c r="H14">
        <f>C23*12</f>
        <v>111.9</v>
      </c>
      <c r="I14" t="s">
        <v>11</v>
      </c>
    </row>
    <row r="15" spans="1:9" x14ac:dyDescent="0.2">
      <c r="A15">
        <v>78</v>
      </c>
      <c r="B15">
        <v>125</v>
      </c>
      <c r="C15">
        <v>10.3</v>
      </c>
      <c r="D15" s="3">
        <f t="shared" si="0"/>
        <v>0.97499999999999964</v>
      </c>
      <c r="E15">
        <f t="shared" si="1"/>
        <v>1.03E-2</v>
      </c>
      <c r="F15" s="2">
        <f t="shared" si="2"/>
        <v>9.7499999999999844E-4</v>
      </c>
      <c r="H15" s="5">
        <f>1-(H13/H14)</f>
        <v>0.78954423592493295</v>
      </c>
    </row>
    <row r="16" spans="1:9" x14ac:dyDescent="0.2">
      <c r="A16">
        <v>52</v>
      </c>
      <c r="B16">
        <v>50</v>
      </c>
      <c r="C16">
        <v>11.7</v>
      </c>
      <c r="D16" s="3">
        <f t="shared" si="0"/>
        <v>2.3749999999999982</v>
      </c>
      <c r="E16">
        <f t="shared" si="1"/>
        <v>1.17E-2</v>
      </c>
      <c r="F16" s="2">
        <f t="shared" si="2"/>
        <v>2.3749999999999986E-3</v>
      </c>
    </row>
    <row r="17" spans="1:6" x14ac:dyDescent="0.2">
      <c r="A17">
        <v>52</v>
      </c>
      <c r="B17">
        <v>100</v>
      </c>
      <c r="C17">
        <v>13.9</v>
      </c>
      <c r="D17" s="3">
        <f t="shared" si="0"/>
        <v>4.5749999999999993</v>
      </c>
      <c r="E17">
        <f t="shared" si="1"/>
        <v>1.3900000000000001E-2</v>
      </c>
      <c r="F17" s="2">
        <f t="shared" si="2"/>
        <v>4.5749999999999992E-3</v>
      </c>
    </row>
    <row r="18" spans="1:6" x14ac:dyDescent="0.2">
      <c r="A18">
        <v>26</v>
      </c>
      <c r="B18">
        <v>25</v>
      </c>
      <c r="C18">
        <v>6</v>
      </c>
      <c r="D18" s="3">
        <f t="shared" si="0"/>
        <v>3.3250000000000011</v>
      </c>
      <c r="E18">
        <f t="shared" si="1"/>
        <v>6.0000000000000001E-3</v>
      </c>
      <c r="F18" s="2">
        <f t="shared" si="2"/>
        <v>3.3250000000000016E-3</v>
      </c>
    </row>
    <row r="19" spans="1:6" x14ac:dyDescent="0.2">
      <c r="A19">
        <v>26</v>
      </c>
      <c r="B19">
        <v>75</v>
      </c>
      <c r="C19">
        <v>9.1999999999999993</v>
      </c>
      <c r="D19" s="3">
        <f t="shared" si="0"/>
        <v>0.12500000000000178</v>
      </c>
      <c r="E19">
        <f t="shared" si="1"/>
        <v>9.1999999999999998E-3</v>
      </c>
      <c r="F19" s="2">
        <f t="shared" si="2"/>
        <v>1.2500000000000185E-4</v>
      </c>
    </row>
    <row r="20" spans="1:6" x14ac:dyDescent="0.2">
      <c r="A20">
        <v>26</v>
      </c>
      <c r="B20">
        <v>125</v>
      </c>
      <c r="C20">
        <v>9.5</v>
      </c>
      <c r="D20" s="3">
        <f t="shared" si="0"/>
        <v>0.17499999999999893</v>
      </c>
      <c r="E20">
        <f t="shared" si="1"/>
        <v>9.4999999999999998E-3</v>
      </c>
      <c r="F20" s="2">
        <f t="shared" si="2"/>
        <v>1.7499999999999807E-4</v>
      </c>
    </row>
    <row r="21" spans="1:6" x14ac:dyDescent="0.2">
      <c r="A21">
        <v>0</v>
      </c>
      <c r="B21">
        <v>50</v>
      </c>
      <c r="C21">
        <v>5.8</v>
      </c>
      <c r="D21" s="3">
        <f t="shared" si="0"/>
        <v>3.5250000000000012</v>
      </c>
      <c r="E21">
        <f t="shared" si="1"/>
        <v>5.7999999999999996E-3</v>
      </c>
      <c r="F21" s="2">
        <f t="shared" si="2"/>
        <v>3.5250000000000021E-3</v>
      </c>
    </row>
    <row r="22" spans="1:6" x14ac:dyDescent="0.2">
      <c r="A22">
        <v>0</v>
      </c>
      <c r="B22">
        <v>100</v>
      </c>
      <c r="C22">
        <v>7</v>
      </c>
      <c r="D22" s="3">
        <f t="shared" si="0"/>
        <v>2.3250000000000011</v>
      </c>
      <c r="E22">
        <f t="shared" si="1"/>
        <v>7.0000000000000001E-3</v>
      </c>
      <c r="F22" s="2">
        <f t="shared" si="2"/>
        <v>2.3250000000000015E-3</v>
      </c>
    </row>
    <row r="23" spans="1:6" x14ac:dyDescent="0.2">
      <c r="C23" s="3">
        <f>AVERAGE(C11:C22)</f>
        <v>9.3250000000000011</v>
      </c>
      <c r="D23" t="s">
        <v>5</v>
      </c>
      <c r="E23" s="4">
        <f>AVERAGE(E11:E22)</f>
        <v>9.3250000000000017E-3</v>
      </c>
    </row>
    <row r="24" spans="1:6" x14ac:dyDescent="0.2">
      <c r="C24">
        <f>C23*12</f>
        <v>111.9</v>
      </c>
      <c r="D24" t="s">
        <v>2</v>
      </c>
    </row>
    <row r="25" spans="1:6" x14ac:dyDescent="0.2">
      <c r="C25">
        <f>C23*6</f>
        <v>55.95</v>
      </c>
      <c r="D25" t="s">
        <v>3</v>
      </c>
      <c r="F25" s="2"/>
    </row>
    <row r="26" spans="1:6" x14ac:dyDescent="0.2">
      <c r="C26">
        <f>C23/5</f>
        <v>1.8650000000000002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3299-72C2-8C43-B85E-21365E398C25}">
  <dimension ref="A1:I35"/>
  <sheetViews>
    <sheetView workbookViewId="0">
      <selection activeCell="C4" sqref="C4:D4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39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8.9</v>
      </c>
      <c r="D11" s="3">
        <f t="shared" ref="D11:D22" si="0">ABS(C11-$C$23)</f>
        <v>4.1666666666666075E-2</v>
      </c>
      <c r="E11">
        <f t="shared" ref="E11:E22" si="1">C11*0.001</f>
        <v>8.8999999999999999E-3</v>
      </c>
      <c r="F11" s="2">
        <f t="shared" ref="F11:F22" si="2">ABS(E11-$E$23)</f>
        <v>4.1666666666665547E-5</v>
      </c>
    </row>
    <row r="12" spans="1:9" x14ac:dyDescent="0.2">
      <c r="A12">
        <v>104</v>
      </c>
      <c r="B12">
        <v>100</v>
      </c>
      <c r="C12">
        <v>7.7</v>
      </c>
      <c r="D12" s="3">
        <f t="shared" si="0"/>
        <v>1.1583333333333341</v>
      </c>
      <c r="E12">
        <f t="shared" si="1"/>
        <v>7.7000000000000002E-3</v>
      </c>
      <c r="F12" s="2">
        <f t="shared" si="2"/>
        <v>1.1583333333333341E-3</v>
      </c>
      <c r="H12" t="s">
        <v>9</v>
      </c>
    </row>
    <row r="13" spans="1:9" x14ac:dyDescent="0.2">
      <c r="A13">
        <v>78</v>
      </c>
      <c r="B13">
        <v>25</v>
      </c>
      <c r="C13">
        <v>10.3</v>
      </c>
      <c r="D13" s="3">
        <f t="shared" si="0"/>
        <v>1.4416666666666664</v>
      </c>
      <c r="E13">
        <f t="shared" si="1"/>
        <v>1.03E-2</v>
      </c>
      <c r="F13" s="2">
        <f t="shared" si="2"/>
        <v>1.4416666666666657E-3</v>
      </c>
      <c r="H13" s="3">
        <f>SUM(D11:D35)</f>
        <v>20.5</v>
      </c>
      <c r="I13" t="s">
        <v>10</v>
      </c>
    </row>
    <row r="14" spans="1:9" x14ac:dyDescent="0.2">
      <c r="A14">
        <v>78</v>
      </c>
      <c r="B14">
        <v>75</v>
      </c>
      <c r="C14">
        <v>12</v>
      </c>
      <c r="D14" s="3">
        <f t="shared" si="0"/>
        <v>3.1416666666666657</v>
      </c>
      <c r="E14">
        <f t="shared" si="1"/>
        <v>1.2E-2</v>
      </c>
      <c r="F14" s="2">
        <f t="shared" si="2"/>
        <v>3.1416666666666659E-3</v>
      </c>
      <c r="H14">
        <f>C23*12</f>
        <v>106.30000000000001</v>
      </c>
      <c r="I14" t="s">
        <v>11</v>
      </c>
    </row>
    <row r="15" spans="1:9" x14ac:dyDescent="0.2">
      <c r="A15">
        <v>78</v>
      </c>
      <c r="B15">
        <v>125</v>
      </c>
      <c r="C15">
        <v>8.1</v>
      </c>
      <c r="D15" s="3">
        <f t="shared" si="0"/>
        <v>0.75833333333333464</v>
      </c>
      <c r="E15">
        <f t="shared" si="1"/>
        <v>8.0999999999999996E-3</v>
      </c>
      <c r="F15" s="2">
        <f t="shared" si="2"/>
        <v>7.5833333333333482E-4</v>
      </c>
      <c r="H15" s="5">
        <f>1-(H13/H14)</f>
        <v>0.80714957666980247</v>
      </c>
    </row>
    <row r="16" spans="1:9" x14ac:dyDescent="0.2">
      <c r="A16">
        <v>52</v>
      </c>
      <c r="B16">
        <v>50</v>
      </c>
      <c r="C16">
        <v>10.1</v>
      </c>
      <c r="D16" s="3">
        <f t="shared" si="0"/>
        <v>1.2416666666666654</v>
      </c>
      <c r="E16">
        <f t="shared" si="1"/>
        <v>1.01E-2</v>
      </c>
      <c r="F16" s="2">
        <f t="shared" si="2"/>
        <v>1.2416666666666652E-3</v>
      </c>
    </row>
    <row r="17" spans="1:6" x14ac:dyDescent="0.2">
      <c r="A17">
        <v>52</v>
      </c>
      <c r="B17">
        <v>100</v>
      </c>
      <c r="C17">
        <v>12.3</v>
      </c>
      <c r="D17" s="3">
        <f t="shared" si="0"/>
        <v>3.4416666666666664</v>
      </c>
      <c r="E17">
        <f t="shared" si="1"/>
        <v>1.23E-2</v>
      </c>
      <c r="F17" s="2">
        <f t="shared" si="2"/>
        <v>3.4416666666666658E-3</v>
      </c>
    </row>
    <row r="18" spans="1:6" x14ac:dyDescent="0.2">
      <c r="A18">
        <v>26</v>
      </c>
      <c r="B18">
        <v>25</v>
      </c>
      <c r="C18">
        <v>5.7</v>
      </c>
      <c r="D18" s="3">
        <f t="shared" si="0"/>
        <v>3.1583333333333341</v>
      </c>
      <c r="E18">
        <f t="shared" si="1"/>
        <v>5.7000000000000002E-3</v>
      </c>
      <c r="F18" s="2">
        <f t="shared" si="2"/>
        <v>3.1583333333333342E-3</v>
      </c>
    </row>
    <row r="19" spans="1:6" x14ac:dyDescent="0.2">
      <c r="A19">
        <v>26</v>
      </c>
      <c r="B19">
        <v>75</v>
      </c>
      <c r="C19">
        <v>9.8000000000000007</v>
      </c>
      <c r="D19" s="3">
        <f t="shared" si="0"/>
        <v>0.94166666666666643</v>
      </c>
      <c r="E19">
        <f t="shared" si="1"/>
        <v>9.8000000000000014E-3</v>
      </c>
      <c r="F19" s="2">
        <f t="shared" si="2"/>
        <v>9.4166666666666704E-4</v>
      </c>
    </row>
    <row r="20" spans="1:6" x14ac:dyDescent="0.2">
      <c r="A20">
        <v>26</v>
      </c>
      <c r="B20">
        <v>125</v>
      </c>
      <c r="C20">
        <v>8.8000000000000007</v>
      </c>
      <c r="D20" s="3">
        <f t="shared" si="0"/>
        <v>5.833333333333357E-2</v>
      </c>
      <c r="E20">
        <f t="shared" si="1"/>
        <v>8.8000000000000005E-3</v>
      </c>
      <c r="F20" s="2">
        <f t="shared" si="2"/>
        <v>5.8333333333333848E-5</v>
      </c>
    </row>
    <row r="21" spans="1:6" x14ac:dyDescent="0.2">
      <c r="A21">
        <v>0</v>
      </c>
      <c r="B21">
        <v>50</v>
      </c>
      <c r="C21">
        <v>5.7</v>
      </c>
      <c r="D21" s="3">
        <f t="shared" si="0"/>
        <v>3.1583333333333341</v>
      </c>
      <c r="E21">
        <f t="shared" si="1"/>
        <v>5.7000000000000002E-3</v>
      </c>
      <c r="F21" s="2">
        <f t="shared" si="2"/>
        <v>3.1583333333333342E-3</v>
      </c>
    </row>
    <row r="22" spans="1:6" x14ac:dyDescent="0.2">
      <c r="A22">
        <v>0</v>
      </c>
      <c r="B22">
        <v>100</v>
      </c>
      <c r="C22">
        <v>6.9</v>
      </c>
      <c r="D22" s="3">
        <f t="shared" si="0"/>
        <v>1.9583333333333339</v>
      </c>
      <c r="E22">
        <f t="shared" si="1"/>
        <v>6.9000000000000008E-3</v>
      </c>
      <c r="F22" s="2">
        <f t="shared" si="2"/>
        <v>1.9583333333333336E-3</v>
      </c>
    </row>
    <row r="23" spans="1:6" x14ac:dyDescent="0.2">
      <c r="C23" s="3">
        <f>AVERAGE(C11:C22)</f>
        <v>8.8583333333333343</v>
      </c>
      <c r="D23" t="s">
        <v>5</v>
      </c>
      <c r="E23" s="4">
        <f>AVERAGE(E11:E22)</f>
        <v>8.8583333333333344E-3</v>
      </c>
    </row>
    <row r="24" spans="1:6" x14ac:dyDescent="0.2">
      <c r="C24">
        <f>C23*12</f>
        <v>106.30000000000001</v>
      </c>
      <c r="D24" t="s">
        <v>2</v>
      </c>
    </row>
    <row r="25" spans="1:6" x14ac:dyDescent="0.2">
      <c r="C25">
        <f>C23*6</f>
        <v>53.150000000000006</v>
      </c>
      <c r="D25" t="s">
        <v>3</v>
      </c>
      <c r="F25" s="2"/>
    </row>
    <row r="26" spans="1:6" x14ac:dyDescent="0.2">
      <c r="C26">
        <f>C23/5</f>
        <v>1.7716666666666669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B9D1-41FA-294F-9C3C-87ABF70DE574}">
  <dimension ref="A1:I3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7.2</v>
      </c>
      <c r="D11" s="3">
        <f t="shared" ref="D11:D22" si="0">ABS(C11-$C$23)</f>
        <v>8.8817841970012523E-16</v>
      </c>
      <c r="E11">
        <f t="shared" ref="E11:E22" si="1">C11*0.001</f>
        <v>7.2000000000000007E-3</v>
      </c>
      <c r="F11" s="2">
        <f t="shared" ref="F11:F22" si="2">ABS(E11-$E$23)</f>
        <v>0</v>
      </c>
    </row>
    <row r="12" spans="1:9" x14ac:dyDescent="0.2">
      <c r="A12">
        <v>104</v>
      </c>
      <c r="B12">
        <v>100</v>
      </c>
      <c r="C12">
        <v>6.3</v>
      </c>
      <c r="D12" s="3">
        <f t="shared" si="0"/>
        <v>0.89999999999999947</v>
      </c>
      <c r="E12">
        <f t="shared" si="1"/>
        <v>6.3E-3</v>
      </c>
      <c r="F12" s="2">
        <f t="shared" si="2"/>
        <v>9.0000000000000063E-4</v>
      </c>
      <c r="H12" t="s">
        <v>9</v>
      </c>
    </row>
    <row r="13" spans="1:9" x14ac:dyDescent="0.2">
      <c r="A13">
        <v>78</v>
      </c>
      <c r="B13">
        <v>25</v>
      </c>
      <c r="C13">
        <v>7.5</v>
      </c>
      <c r="D13" s="3">
        <f t="shared" si="0"/>
        <v>0.30000000000000071</v>
      </c>
      <c r="E13">
        <f t="shared" si="1"/>
        <v>7.4999999999999997E-3</v>
      </c>
      <c r="F13" s="2">
        <f t="shared" si="2"/>
        <v>2.9999999999999905E-4</v>
      </c>
      <c r="H13" s="3">
        <f>SUM(D11:D35)</f>
        <v>14.200000000000001</v>
      </c>
      <c r="I13" t="s">
        <v>10</v>
      </c>
    </row>
    <row r="14" spans="1:9" x14ac:dyDescent="0.2">
      <c r="A14">
        <v>78</v>
      </c>
      <c r="B14">
        <v>75</v>
      </c>
      <c r="C14">
        <v>9.4</v>
      </c>
      <c r="D14" s="3">
        <f t="shared" si="0"/>
        <v>2.2000000000000011</v>
      </c>
      <c r="E14">
        <f t="shared" si="1"/>
        <v>9.4000000000000004E-3</v>
      </c>
      <c r="F14" s="2">
        <f t="shared" si="2"/>
        <v>2.1999999999999997E-3</v>
      </c>
      <c r="H14">
        <f>C23*12</f>
        <v>86.399999999999991</v>
      </c>
      <c r="I14" t="s">
        <v>11</v>
      </c>
    </row>
    <row r="15" spans="1:9" x14ac:dyDescent="0.2">
      <c r="A15">
        <v>78</v>
      </c>
      <c r="B15">
        <v>125</v>
      </c>
      <c r="C15">
        <v>6.7</v>
      </c>
      <c r="D15" s="3">
        <f t="shared" si="0"/>
        <v>0.49999999999999911</v>
      </c>
      <c r="E15">
        <f t="shared" si="1"/>
        <v>6.7000000000000002E-3</v>
      </c>
      <c r="F15" s="2">
        <f t="shared" si="2"/>
        <v>5.0000000000000044E-4</v>
      </c>
      <c r="H15" s="5">
        <f>1-(H13/H14)</f>
        <v>0.83564814814814814</v>
      </c>
    </row>
    <row r="16" spans="1:9" x14ac:dyDescent="0.2">
      <c r="A16">
        <v>52</v>
      </c>
      <c r="B16">
        <v>50</v>
      </c>
      <c r="C16">
        <v>8.1999999999999993</v>
      </c>
      <c r="D16" s="3">
        <f t="shared" si="0"/>
        <v>1</v>
      </c>
      <c r="E16">
        <f t="shared" si="1"/>
        <v>8.199999999999999E-3</v>
      </c>
      <c r="F16" s="2">
        <f t="shared" si="2"/>
        <v>9.9999999999999829E-4</v>
      </c>
    </row>
    <row r="17" spans="1:6" x14ac:dyDescent="0.2">
      <c r="A17">
        <v>52</v>
      </c>
      <c r="B17">
        <v>100</v>
      </c>
      <c r="C17">
        <v>10</v>
      </c>
      <c r="D17" s="3">
        <f t="shared" si="0"/>
        <v>2.8000000000000007</v>
      </c>
      <c r="E17">
        <f t="shared" si="1"/>
        <v>0.01</v>
      </c>
      <c r="F17" s="2">
        <f t="shared" si="2"/>
        <v>2.7999999999999995E-3</v>
      </c>
    </row>
    <row r="18" spans="1:6" x14ac:dyDescent="0.2">
      <c r="A18">
        <v>26</v>
      </c>
      <c r="B18">
        <v>25</v>
      </c>
      <c r="C18">
        <v>5</v>
      </c>
      <c r="D18" s="3">
        <f t="shared" si="0"/>
        <v>2.1999999999999993</v>
      </c>
      <c r="E18">
        <f t="shared" si="1"/>
        <v>5.0000000000000001E-3</v>
      </c>
      <c r="F18" s="2">
        <f t="shared" si="2"/>
        <v>2.2000000000000006E-3</v>
      </c>
    </row>
    <row r="19" spans="1:6" x14ac:dyDescent="0.2">
      <c r="A19">
        <v>26</v>
      </c>
      <c r="B19">
        <v>75</v>
      </c>
      <c r="C19">
        <v>8</v>
      </c>
      <c r="D19" s="3">
        <f t="shared" si="0"/>
        <v>0.80000000000000071</v>
      </c>
      <c r="E19">
        <f t="shared" si="1"/>
        <v>8.0000000000000002E-3</v>
      </c>
      <c r="F19" s="2">
        <f t="shared" si="2"/>
        <v>7.999999999999995E-4</v>
      </c>
    </row>
    <row r="20" spans="1:6" x14ac:dyDescent="0.2">
      <c r="A20">
        <v>26</v>
      </c>
      <c r="B20">
        <v>125</v>
      </c>
      <c r="C20">
        <v>7</v>
      </c>
      <c r="D20" s="3">
        <f t="shared" si="0"/>
        <v>0.19999999999999929</v>
      </c>
      <c r="E20">
        <f t="shared" si="1"/>
        <v>7.0000000000000001E-3</v>
      </c>
      <c r="F20" s="2">
        <f t="shared" si="2"/>
        <v>2.0000000000000052E-4</v>
      </c>
    </row>
    <row r="21" spans="1:6" x14ac:dyDescent="0.2">
      <c r="A21">
        <v>0</v>
      </c>
      <c r="B21">
        <v>50</v>
      </c>
      <c r="C21">
        <v>5</v>
      </c>
      <c r="D21" s="3">
        <f t="shared" si="0"/>
        <v>2.1999999999999993</v>
      </c>
      <c r="E21">
        <f t="shared" si="1"/>
        <v>5.0000000000000001E-3</v>
      </c>
      <c r="F21" s="2">
        <f t="shared" si="2"/>
        <v>2.2000000000000006E-3</v>
      </c>
    </row>
    <row r="22" spans="1:6" x14ac:dyDescent="0.2">
      <c r="A22">
        <v>0</v>
      </c>
      <c r="B22">
        <v>100</v>
      </c>
      <c r="C22">
        <v>6.1</v>
      </c>
      <c r="D22" s="3">
        <f t="shared" si="0"/>
        <v>1.0999999999999996</v>
      </c>
      <c r="E22">
        <f t="shared" si="1"/>
        <v>6.0999999999999995E-3</v>
      </c>
      <c r="F22" s="2">
        <f t="shared" si="2"/>
        <v>1.1000000000000012E-3</v>
      </c>
    </row>
    <row r="23" spans="1:6" x14ac:dyDescent="0.2">
      <c r="C23" s="3">
        <f>AVERAGE(C11:C22)</f>
        <v>7.1999999999999993</v>
      </c>
      <c r="D23" t="s">
        <v>5</v>
      </c>
      <c r="E23" s="4">
        <f>AVERAGE(E11:E22)</f>
        <v>7.2000000000000007E-3</v>
      </c>
    </row>
    <row r="24" spans="1:6" x14ac:dyDescent="0.2">
      <c r="C24">
        <f>C23*12</f>
        <v>86.399999999999991</v>
      </c>
      <c r="D24" t="s">
        <v>2</v>
      </c>
    </row>
    <row r="25" spans="1:6" x14ac:dyDescent="0.2">
      <c r="C25">
        <f>C23*6</f>
        <v>43.199999999999996</v>
      </c>
      <c r="D25" t="s">
        <v>3</v>
      </c>
      <c r="F25" s="2"/>
    </row>
    <row r="26" spans="1:6" x14ac:dyDescent="0.2">
      <c r="C26">
        <f>C23/5</f>
        <v>1.44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4739-2050-2D4A-B8B1-EACD91D39705}">
  <dimension ref="A1:I35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7.9</v>
      </c>
      <c r="D11" s="3">
        <f t="shared" ref="D11:D22" si="0">ABS(C11-$C$23)</f>
        <v>0.57500000000000018</v>
      </c>
      <c r="E11">
        <f t="shared" ref="E11:E22" si="1">C11*0.001</f>
        <v>7.9000000000000008E-3</v>
      </c>
      <c r="F11" s="2">
        <f t="shared" ref="F11:F22" si="2">ABS(E11-$E$23)</f>
        <v>5.7499999999999999E-4</v>
      </c>
    </row>
    <row r="12" spans="1:9" x14ac:dyDescent="0.2">
      <c r="A12">
        <v>104</v>
      </c>
      <c r="B12">
        <v>100</v>
      </c>
      <c r="C12">
        <v>6.6</v>
      </c>
      <c r="D12" s="3">
        <f t="shared" si="0"/>
        <v>0.72500000000000053</v>
      </c>
      <c r="E12">
        <f t="shared" si="1"/>
        <v>6.6E-3</v>
      </c>
      <c r="F12" s="2">
        <f t="shared" si="2"/>
        <v>7.2500000000000082E-4</v>
      </c>
      <c r="H12" t="s">
        <v>9</v>
      </c>
    </row>
    <row r="13" spans="1:9" x14ac:dyDescent="0.2">
      <c r="A13">
        <v>78</v>
      </c>
      <c r="B13">
        <v>25</v>
      </c>
      <c r="C13">
        <v>7.5</v>
      </c>
      <c r="D13" s="3">
        <f t="shared" si="0"/>
        <v>0.17499999999999982</v>
      </c>
      <c r="E13">
        <f t="shared" si="1"/>
        <v>7.4999999999999997E-3</v>
      </c>
      <c r="F13" s="2">
        <f t="shared" si="2"/>
        <v>1.7499999999999894E-4</v>
      </c>
      <c r="H13" s="3">
        <f>SUM(D11:D35)</f>
        <v>14.900000000000002</v>
      </c>
      <c r="I13" t="s">
        <v>10</v>
      </c>
    </row>
    <row r="14" spans="1:9" x14ac:dyDescent="0.2">
      <c r="A14">
        <v>78</v>
      </c>
      <c r="B14">
        <v>75</v>
      </c>
      <c r="C14">
        <v>9.8000000000000007</v>
      </c>
      <c r="D14" s="3">
        <f t="shared" si="0"/>
        <v>2.4750000000000005</v>
      </c>
      <c r="E14">
        <f t="shared" si="1"/>
        <v>9.8000000000000014E-3</v>
      </c>
      <c r="F14" s="2">
        <f t="shared" si="2"/>
        <v>2.4750000000000006E-3</v>
      </c>
      <c r="H14">
        <f>C23*12</f>
        <v>87.9</v>
      </c>
      <c r="I14" t="s">
        <v>11</v>
      </c>
    </row>
    <row r="15" spans="1:9" x14ac:dyDescent="0.2">
      <c r="A15">
        <v>78</v>
      </c>
      <c r="B15">
        <v>125</v>
      </c>
      <c r="C15">
        <v>6.9</v>
      </c>
      <c r="D15" s="3">
        <f t="shared" si="0"/>
        <v>0.42499999999999982</v>
      </c>
      <c r="E15">
        <f t="shared" si="1"/>
        <v>6.9000000000000008E-3</v>
      </c>
      <c r="F15" s="2">
        <f t="shared" si="2"/>
        <v>4.2500000000000003E-4</v>
      </c>
      <c r="H15" s="5">
        <f>1-(H13/H14)</f>
        <v>0.83048919226393625</v>
      </c>
    </row>
    <row r="16" spans="1:9" x14ac:dyDescent="0.2">
      <c r="A16">
        <v>52</v>
      </c>
      <c r="B16">
        <v>50</v>
      </c>
      <c r="C16">
        <v>8.3000000000000007</v>
      </c>
      <c r="D16" s="3">
        <f t="shared" si="0"/>
        <v>0.97500000000000053</v>
      </c>
      <c r="E16">
        <f t="shared" si="1"/>
        <v>8.3000000000000001E-3</v>
      </c>
      <c r="F16" s="2">
        <f t="shared" si="2"/>
        <v>9.749999999999993E-4</v>
      </c>
    </row>
    <row r="17" spans="1:6" x14ac:dyDescent="0.2">
      <c r="A17">
        <v>52</v>
      </c>
      <c r="B17">
        <v>100</v>
      </c>
      <c r="C17">
        <v>10</v>
      </c>
      <c r="D17" s="3">
        <f t="shared" si="0"/>
        <v>2.6749999999999998</v>
      </c>
      <c r="E17">
        <f t="shared" si="1"/>
        <v>0.01</v>
      </c>
      <c r="F17" s="2">
        <f t="shared" si="2"/>
        <v>2.6749999999999994E-3</v>
      </c>
    </row>
    <row r="18" spans="1:6" x14ac:dyDescent="0.2">
      <c r="A18">
        <v>26</v>
      </c>
      <c r="B18">
        <v>25</v>
      </c>
      <c r="C18">
        <v>5</v>
      </c>
      <c r="D18" s="3">
        <f>ABS(C18-$C$23)</f>
        <v>2.3250000000000002</v>
      </c>
      <c r="E18">
        <f>C18*0.001</f>
        <v>5.0000000000000001E-3</v>
      </c>
      <c r="F18" s="2">
        <f t="shared" si="2"/>
        <v>2.3250000000000007E-3</v>
      </c>
    </row>
    <row r="19" spans="1:6" x14ac:dyDescent="0.2">
      <c r="A19">
        <v>26</v>
      </c>
      <c r="B19">
        <v>75</v>
      </c>
      <c r="C19">
        <v>7.9</v>
      </c>
      <c r="D19" s="3">
        <f>ABS(C19-$C$23)</f>
        <v>0.57500000000000018</v>
      </c>
      <c r="E19">
        <f>C19*0.001</f>
        <v>7.9000000000000008E-3</v>
      </c>
      <c r="F19" s="2">
        <f t="shared" si="2"/>
        <v>5.7499999999999999E-4</v>
      </c>
    </row>
    <row r="20" spans="1:6" x14ac:dyDescent="0.2">
      <c r="A20">
        <v>26</v>
      </c>
      <c r="B20">
        <v>125</v>
      </c>
      <c r="C20">
        <v>7</v>
      </c>
      <c r="D20" s="3">
        <f>ABS(C20-$C$23)</f>
        <v>0.32500000000000018</v>
      </c>
      <c r="E20">
        <f>C20*0.001</f>
        <v>7.0000000000000001E-3</v>
      </c>
      <c r="F20" s="2">
        <f t="shared" si="2"/>
        <v>3.2500000000000064E-4</v>
      </c>
    </row>
    <row r="21" spans="1:6" x14ac:dyDescent="0.2">
      <c r="A21">
        <v>0</v>
      </c>
      <c r="B21">
        <v>50</v>
      </c>
      <c r="C21">
        <v>4.9000000000000004</v>
      </c>
      <c r="D21" s="3">
        <f t="shared" si="0"/>
        <v>2.4249999999999998</v>
      </c>
      <c r="E21">
        <f t="shared" si="1"/>
        <v>4.9000000000000007E-3</v>
      </c>
      <c r="F21" s="2">
        <f t="shared" si="2"/>
        <v>2.4250000000000001E-3</v>
      </c>
    </row>
    <row r="22" spans="1:6" x14ac:dyDescent="0.2">
      <c r="A22">
        <v>0</v>
      </c>
      <c r="B22">
        <v>100</v>
      </c>
      <c r="C22">
        <v>6.1</v>
      </c>
      <c r="D22" s="3">
        <f t="shared" si="0"/>
        <v>1.2250000000000005</v>
      </c>
      <c r="E22">
        <f t="shared" si="1"/>
        <v>6.0999999999999995E-3</v>
      </c>
      <c r="F22" s="2">
        <f t="shared" si="2"/>
        <v>1.2250000000000013E-3</v>
      </c>
    </row>
    <row r="23" spans="1:6" x14ac:dyDescent="0.2">
      <c r="C23" s="3">
        <f>AVERAGE(C11:C22)</f>
        <v>7.3250000000000002</v>
      </c>
      <c r="D23" t="s">
        <v>5</v>
      </c>
      <c r="E23" s="4">
        <f>AVERAGE(E11:E22)</f>
        <v>7.3250000000000008E-3</v>
      </c>
    </row>
    <row r="24" spans="1:6" x14ac:dyDescent="0.2">
      <c r="C24">
        <f>C23*12</f>
        <v>87.9</v>
      </c>
      <c r="D24" t="s">
        <v>2</v>
      </c>
    </row>
    <row r="25" spans="1:6" x14ac:dyDescent="0.2">
      <c r="C25">
        <f>C23*6</f>
        <v>43.95</v>
      </c>
      <c r="D25" t="s">
        <v>3</v>
      </c>
      <c r="F25" s="2"/>
    </row>
    <row r="26" spans="1:6" x14ac:dyDescent="0.2">
      <c r="C26">
        <f>C23/5</f>
        <v>1.4650000000000001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4DFE-BF5C-AC48-BA2B-500275E6A9D1}">
  <dimension ref="A1:I35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460.76799999999997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7.8</v>
      </c>
      <c r="D11" s="3">
        <f t="shared" ref="D11:D22" si="0">ABS(C11-$C$23)</f>
        <v>0.52500000000000036</v>
      </c>
      <c r="E11">
        <f t="shared" ref="E11:E22" si="1">C11*0.001</f>
        <v>7.7999999999999996E-3</v>
      </c>
      <c r="F11" s="2">
        <f t="shared" ref="F11:F22" si="2">ABS(E11-$E$23)</f>
        <v>5.2499999999999943E-4</v>
      </c>
    </row>
    <row r="12" spans="1:9" x14ac:dyDescent="0.2">
      <c r="A12">
        <v>104</v>
      </c>
      <c r="B12">
        <v>100</v>
      </c>
      <c r="C12">
        <v>6.2</v>
      </c>
      <c r="D12" s="3">
        <f t="shared" si="0"/>
        <v>1.0749999999999993</v>
      </c>
      <c r="E12">
        <f t="shared" si="1"/>
        <v>6.2000000000000006E-3</v>
      </c>
      <c r="F12" s="2">
        <f t="shared" si="2"/>
        <v>1.0749999999999996E-3</v>
      </c>
      <c r="H12" t="s">
        <v>9</v>
      </c>
    </row>
    <row r="13" spans="1:9" x14ac:dyDescent="0.2">
      <c r="A13">
        <v>78</v>
      </c>
      <c r="B13">
        <v>25</v>
      </c>
      <c r="C13">
        <v>8</v>
      </c>
      <c r="D13" s="3">
        <f t="shared" si="0"/>
        <v>0.72500000000000053</v>
      </c>
      <c r="E13">
        <f t="shared" si="1"/>
        <v>8.0000000000000002E-3</v>
      </c>
      <c r="F13" s="2">
        <f t="shared" si="2"/>
        <v>7.2499999999999995E-4</v>
      </c>
      <c r="H13" s="3">
        <f>SUM(D11:D35)</f>
        <v>16.699999999999996</v>
      </c>
      <c r="I13" t="s">
        <v>10</v>
      </c>
    </row>
    <row r="14" spans="1:9" x14ac:dyDescent="0.2">
      <c r="A14">
        <v>78</v>
      </c>
      <c r="B14">
        <v>75</v>
      </c>
      <c r="C14">
        <v>9.6</v>
      </c>
      <c r="D14" s="3">
        <f t="shared" si="0"/>
        <v>2.3250000000000002</v>
      </c>
      <c r="E14">
        <f t="shared" si="1"/>
        <v>9.5999999999999992E-3</v>
      </c>
      <c r="F14" s="2">
        <f t="shared" si="2"/>
        <v>2.3249999999999989E-3</v>
      </c>
      <c r="H14">
        <f>C23*12</f>
        <v>87.3</v>
      </c>
      <c r="I14" t="s">
        <v>11</v>
      </c>
    </row>
    <row r="15" spans="1:9" x14ac:dyDescent="0.2">
      <c r="A15">
        <v>78</v>
      </c>
      <c r="B15">
        <v>125</v>
      </c>
      <c r="C15">
        <v>7</v>
      </c>
      <c r="D15" s="3">
        <f t="shared" si="0"/>
        <v>0.27499999999999947</v>
      </c>
      <c r="E15">
        <f t="shared" si="1"/>
        <v>7.0000000000000001E-3</v>
      </c>
      <c r="F15" s="2">
        <f t="shared" si="2"/>
        <v>2.7500000000000007E-4</v>
      </c>
      <c r="H15" s="5">
        <f>1-(H13/H14)</f>
        <v>0.80870561282932418</v>
      </c>
    </row>
    <row r="16" spans="1:9" x14ac:dyDescent="0.2">
      <c r="A16">
        <v>52</v>
      </c>
      <c r="B16">
        <v>50</v>
      </c>
      <c r="C16">
        <v>8.1999999999999993</v>
      </c>
      <c r="D16" s="3">
        <f t="shared" si="0"/>
        <v>0.92499999999999982</v>
      </c>
      <c r="E16">
        <f t="shared" si="1"/>
        <v>8.199999999999999E-3</v>
      </c>
      <c r="F16" s="2">
        <f t="shared" si="2"/>
        <v>9.2499999999999874E-4</v>
      </c>
    </row>
    <row r="17" spans="1:6" x14ac:dyDescent="0.2">
      <c r="A17">
        <v>52</v>
      </c>
      <c r="B17">
        <v>100</v>
      </c>
      <c r="C17">
        <v>10.5</v>
      </c>
      <c r="D17" s="3">
        <f t="shared" si="0"/>
        <v>3.2250000000000005</v>
      </c>
      <c r="E17">
        <f t="shared" si="1"/>
        <v>1.0500000000000001E-2</v>
      </c>
      <c r="F17" s="2">
        <f t="shared" si="2"/>
        <v>3.2250000000000004E-3</v>
      </c>
    </row>
    <row r="18" spans="1:6" x14ac:dyDescent="0.2">
      <c r="A18">
        <v>26</v>
      </c>
      <c r="B18">
        <v>25</v>
      </c>
      <c r="C18">
        <v>5</v>
      </c>
      <c r="D18" s="3">
        <f t="shared" si="0"/>
        <v>2.2749999999999995</v>
      </c>
      <c r="E18">
        <f t="shared" si="1"/>
        <v>5.0000000000000001E-3</v>
      </c>
      <c r="F18" s="2">
        <f t="shared" si="2"/>
        <v>2.2750000000000001E-3</v>
      </c>
    </row>
    <row r="19" spans="1:6" x14ac:dyDescent="0.2">
      <c r="A19">
        <v>26</v>
      </c>
      <c r="B19">
        <v>75</v>
      </c>
      <c r="C19">
        <v>7.9</v>
      </c>
      <c r="D19" s="3">
        <f t="shared" si="0"/>
        <v>0.62500000000000089</v>
      </c>
      <c r="E19">
        <f t="shared" si="1"/>
        <v>7.9000000000000008E-3</v>
      </c>
      <c r="F19" s="2">
        <f t="shared" si="2"/>
        <v>6.2500000000000056E-4</v>
      </c>
    </row>
    <row r="20" spans="1:6" x14ac:dyDescent="0.2">
      <c r="A20">
        <v>26</v>
      </c>
      <c r="B20">
        <v>125</v>
      </c>
      <c r="C20">
        <v>7</v>
      </c>
      <c r="D20" s="3">
        <f t="shared" si="0"/>
        <v>0.27499999999999947</v>
      </c>
      <c r="E20">
        <f t="shared" si="1"/>
        <v>7.0000000000000001E-3</v>
      </c>
      <c r="F20" s="2">
        <f t="shared" si="2"/>
        <v>2.7500000000000007E-4</v>
      </c>
    </row>
    <row r="21" spans="1:6" x14ac:dyDescent="0.2">
      <c r="A21">
        <v>0</v>
      </c>
      <c r="B21">
        <v>50</v>
      </c>
      <c r="C21">
        <v>5</v>
      </c>
      <c r="D21" s="3">
        <f t="shared" si="0"/>
        <v>2.2749999999999995</v>
      </c>
      <c r="E21">
        <f t="shared" si="1"/>
        <v>5.0000000000000001E-3</v>
      </c>
      <c r="F21" s="2">
        <f t="shared" si="2"/>
        <v>2.2750000000000001E-3</v>
      </c>
    </row>
    <row r="22" spans="1:6" x14ac:dyDescent="0.2">
      <c r="A22">
        <v>0</v>
      </c>
      <c r="B22">
        <v>100</v>
      </c>
      <c r="C22">
        <v>5.0999999999999996</v>
      </c>
      <c r="D22" s="3">
        <f t="shared" si="0"/>
        <v>2.1749999999999998</v>
      </c>
      <c r="E22">
        <f t="shared" si="1"/>
        <v>5.0999999999999995E-3</v>
      </c>
      <c r="F22" s="2">
        <f t="shared" si="2"/>
        <v>2.1750000000000007E-3</v>
      </c>
    </row>
    <row r="23" spans="1:6" x14ac:dyDescent="0.2">
      <c r="C23" s="3">
        <f>AVERAGE(C11:C22)</f>
        <v>7.2749999999999995</v>
      </c>
      <c r="D23" t="s">
        <v>5</v>
      </c>
      <c r="E23" s="4">
        <f>AVERAGE(E11:E22)</f>
        <v>7.2750000000000002E-3</v>
      </c>
    </row>
    <row r="24" spans="1:6" x14ac:dyDescent="0.2">
      <c r="C24">
        <f>C23*12</f>
        <v>87.3</v>
      </c>
      <c r="D24" t="s">
        <v>2</v>
      </c>
    </row>
    <row r="25" spans="1:6" x14ac:dyDescent="0.2">
      <c r="C25">
        <f>C23*6</f>
        <v>43.65</v>
      </c>
      <c r="D25" t="s">
        <v>3</v>
      </c>
      <c r="F25" s="2"/>
    </row>
    <row r="26" spans="1:6" x14ac:dyDescent="0.2">
      <c r="C26">
        <f>C23/5</f>
        <v>1.4549999999999998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2162-D891-3742-8329-376C903FF7D0}">
  <dimension ref="A1:I3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25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3.2</v>
      </c>
      <c r="D11" s="3">
        <f t="shared" ref="D11:D22" si="0">ABS(C11-$C$23)</f>
        <v>0.90000000000000036</v>
      </c>
      <c r="E11">
        <f t="shared" ref="E11:E22" si="1">C11*0.001</f>
        <v>3.2000000000000002E-3</v>
      </c>
      <c r="F11" s="2">
        <f t="shared" ref="F11:F22" si="2">ABS(E11-$E$23)</f>
        <v>9.0000000000000019E-4</v>
      </c>
    </row>
    <row r="12" spans="1:9" x14ac:dyDescent="0.2">
      <c r="A12">
        <v>104</v>
      </c>
      <c r="B12">
        <v>100</v>
      </c>
      <c r="C12">
        <v>4</v>
      </c>
      <c r="D12" s="3">
        <f t="shared" si="0"/>
        <v>0.10000000000000053</v>
      </c>
      <c r="E12">
        <f t="shared" si="1"/>
        <v>4.0000000000000001E-3</v>
      </c>
      <c r="F12" s="2">
        <f t="shared" si="2"/>
        <v>1.0000000000000026E-4</v>
      </c>
      <c r="H12" t="s">
        <v>9</v>
      </c>
    </row>
    <row r="13" spans="1:9" x14ac:dyDescent="0.2">
      <c r="A13">
        <v>78</v>
      </c>
      <c r="B13">
        <v>25</v>
      </c>
      <c r="C13">
        <v>3.5</v>
      </c>
      <c r="D13" s="3">
        <f t="shared" si="0"/>
        <v>0.60000000000000053</v>
      </c>
      <c r="E13">
        <f t="shared" si="1"/>
        <v>3.5000000000000001E-3</v>
      </c>
      <c r="F13" s="2">
        <f t="shared" si="2"/>
        <v>6.0000000000000027E-4</v>
      </c>
      <c r="H13" s="3">
        <f>SUM(D11:D35)</f>
        <v>6.0000000000000018</v>
      </c>
      <c r="I13" t="s">
        <v>10</v>
      </c>
    </row>
    <row r="14" spans="1:9" x14ac:dyDescent="0.2">
      <c r="A14">
        <v>78</v>
      </c>
      <c r="B14">
        <v>75</v>
      </c>
      <c r="C14">
        <v>4.7</v>
      </c>
      <c r="D14" s="3">
        <f t="shared" si="0"/>
        <v>0.59999999999999964</v>
      </c>
      <c r="E14">
        <f t="shared" si="1"/>
        <v>4.7000000000000002E-3</v>
      </c>
      <c r="F14" s="2">
        <f t="shared" si="2"/>
        <v>5.9999999999999984E-4</v>
      </c>
      <c r="H14">
        <f>C23*12</f>
        <v>49.2</v>
      </c>
      <c r="I14" t="s">
        <v>11</v>
      </c>
    </row>
    <row r="15" spans="1:9" x14ac:dyDescent="0.2">
      <c r="A15">
        <v>78</v>
      </c>
      <c r="B15">
        <v>125</v>
      </c>
      <c r="C15">
        <v>4.0999999999999996</v>
      </c>
      <c r="D15" s="3">
        <f t="shared" si="0"/>
        <v>8.8817841970012523E-16</v>
      </c>
      <c r="E15">
        <f t="shared" si="1"/>
        <v>4.0999999999999995E-3</v>
      </c>
      <c r="F15" s="2">
        <f t="shared" si="2"/>
        <v>8.6736173798840355E-19</v>
      </c>
      <c r="H15" s="5">
        <f>1-(H13/H14)</f>
        <v>0.87804878048780488</v>
      </c>
    </row>
    <row r="16" spans="1:9" x14ac:dyDescent="0.2">
      <c r="A16">
        <v>52</v>
      </c>
      <c r="B16">
        <v>50</v>
      </c>
      <c r="C16">
        <v>5</v>
      </c>
      <c r="D16" s="3">
        <f t="shared" si="0"/>
        <v>0.89999999999999947</v>
      </c>
      <c r="E16">
        <f t="shared" si="1"/>
        <v>5.0000000000000001E-3</v>
      </c>
      <c r="F16" s="2">
        <f t="shared" si="2"/>
        <v>8.9999999999999976E-4</v>
      </c>
    </row>
    <row r="17" spans="1:6" x14ac:dyDescent="0.2">
      <c r="A17">
        <v>52</v>
      </c>
      <c r="B17">
        <v>100</v>
      </c>
      <c r="C17">
        <v>5</v>
      </c>
      <c r="D17" s="3">
        <f t="shared" si="0"/>
        <v>0.89999999999999947</v>
      </c>
      <c r="E17">
        <f t="shared" si="1"/>
        <v>5.0000000000000001E-3</v>
      </c>
      <c r="F17" s="2">
        <f t="shared" si="2"/>
        <v>8.9999999999999976E-4</v>
      </c>
    </row>
    <row r="18" spans="1:6" x14ac:dyDescent="0.2">
      <c r="A18">
        <v>26</v>
      </c>
      <c r="B18">
        <v>25</v>
      </c>
      <c r="C18">
        <v>3.9</v>
      </c>
      <c r="D18" s="3">
        <f t="shared" si="0"/>
        <v>0.20000000000000062</v>
      </c>
      <c r="E18">
        <f t="shared" si="1"/>
        <v>3.8999999999999998E-3</v>
      </c>
      <c r="F18" s="2">
        <f t="shared" si="2"/>
        <v>2.0000000000000052E-4</v>
      </c>
    </row>
    <row r="19" spans="1:6" x14ac:dyDescent="0.2">
      <c r="A19">
        <v>26</v>
      </c>
      <c r="B19">
        <v>75</v>
      </c>
      <c r="C19">
        <v>4.7</v>
      </c>
      <c r="D19" s="3">
        <f t="shared" si="0"/>
        <v>0.59999999999999964</v>
      </c>
      <c r="E19">
        <f t="shared" si="1"/>
        <v>4.7000000000000002E-3</v>
      </c>
      <c r="F19" s="2">
        <f t="shared" si="2"/>
        <v>5.9999999999999984E-4</v>
      </c>
    </row>
    <row r="20" spans="1:6" x14ac:dyDescent="0.2">
      <c r="A20">
        <v>26</v>
      </c>
      <c r="B20">
        <v>125</v>
      </c>
      <c r="C20">
        <v>4</v>
      </c>
      <c r="D20" s="3">
        <f t="shared" si="0"/>
        <v>0.10000000000000053</v>
      </c>
      <c r="E20">
        <f t="shared" si="1"/>
        <v>4.0000000000000001E-3</v>
      </c>
      <c r="F20" s="2">
        <f t="shared" si="2"/>
        <v>1.0000000000000026E-4</v>
      </c>
    </row>
    <row r="21" spans="1:6" x14ac:dyDescent="0.2">
      <c r="A21">
        <v>0</v>
      </c>
      <c r="B21">
        <v>50</v>
      </c>
      <c r="C21">
        <v>3.2</v>
      </c>
      <c r="D21" s="3">
        <f t="shared" si="0"/>
        <v>0.90000000000000036</v>
      </c>
      <c r="E21">
        <f t="shared" si="1"/>
        <v>3.2000000000000002E-3</v>
      </c>
      <c r="F21" s="2">
        <f t="shared" si="2"/>
        <v>9.0000000000000019E-4</v>
      </c>
    </row>
    <row r="22" spans="1:6" x14ac:dyDescent="0.2">
      <c r="A22">
        <v>0</v>
      </c>
      <c r="B22">
        <v>100</v>
      </c>
      <c r="C22">
        <v>3.9</v>
      </c>
      <c r="D22" s="3">
        <f t="shared" si="0"/>
        <v>0.20000000000000062</v>
      </c>
      <c r="E22">
        <f t="shared" si="1"/>
        <v>3.8999999999999998E-3</v>
      </c>
      <c r="F22" s="2">
        <f t="shared" si="2"/>
        <v>2.0000000000000052E-4</v>
      </c>
    </row>
    <row r="23" spans="1:6" x14ac:dyDescent="0.2">
      <c r="C23" s="3">
        <f>AVERAGE(C11:C22)</f>
        <v>4.1000000000000005</v>
      </c>
      <c r="D23" t="s">
        <v>5</v>
      </c>
      <c r="E23" s="4">
        <f>AVERAGE(E11:E22)</f>
        <v>4.1000000000000003E-3</v>
      </c>
    </row>
    <row r="24" spans="1:6" x14ac:dyDescent="0.2">
      <c r="C24">
        <f>C23*12</f>
        <v>49.2</v>
      </c>
      <c r="D24" t="s">
        <v>2</v>
      </c>
    </row>
    <row r="25" spans="1:6" x14ac:dyDescent="0.2">
      <c r="C25">
        <f>C23*6</f>
        <v>24.6</v>
      </c>
      <c r="D25" t="s">
        <v>3</v>
      </c>
      <c r="F25" s="2"/>
    </row>
    <row r="26" spans="1:6" x14ac:dyDescent="0.2">
      <c r="C26">
        <f>C23/5</f>
        <v>0.82000000000000006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D74A-C5A6-A345-9017-0C4E74671E36}">
  <dimension ref="A1:I3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25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3</v>
      </c>
      <c r="D11" s="3">
        <f t="shared" ref="D11:D22" si="0">ABS(C11-$C$23)</f>
        <v>1.1916666666666664</v>
      </c>
      <c r="E11">
        <f t="shared" ref="E11:E22" si="1">C11*0.001</f>
        <v>3.0000000000000001E-3</v>
      </c>
      <c r="F11" s="2">
        <f t="shared" ref="F11:F22" si="2">ABS(E11-$E$23)</f>
        <v>1.1916666666666673E-3</v>
      </c>
    </row>
    <row r="12" spans="1:9" x14ac:dyDescent="0.2">
      <c r="A12">
        <v>104</v>
      </c>
      <c r="B12">
        <v>100</v>
      </c>
      <c r="C12">
        <v>4.0999999999999996</v>
      </c>
      <c r="D12" s="3">
        <f t="shared" si="0"/>
        <v>9.1666666666666785E-2</v>
      </c>
      <c r="E12">
        <f t="shared" si="1"/>
        <v>4.0999999999999995E-3</v>
      </c>
      <c r="F12" s="2">
        <f t="shared" si="2"/>
        <v>9.1666666666667847E-5</v>
      </c>
      <c r="H12" t="s">
        <v>9</v>
      </c>
    </row>
    <row r="13" spans="1:9" x14ac:dyDescent="0.2">
      <c r="A13">
        <v>78</v>
      </c>
      <c r="B13">
        <v>25</v>
      </c>
      <c r="C13">
        <v>4.3</v>
      </c>
      <c r="D13" s="3">
        <f t="shared" si="0"/>
        <v>0.10833333333333339</v>
      </c>
      <c r="E13">
        <f t="shared" si="1"/>
        <v>4.3E-3</v>
      </c>
      <c r="F13" s="2">
        <f t="shared" si="2"/>
        <v>1.0833333333333268E-4</v>
      </c>
      <c r="H13" s="3">
        <f>SUM(D11:D35)</f>
        <v>4.9000000000000012</v>
      </c>
      <c r="I13" t="s">
        <v>10</v>
      </c>
    </row>
    <row r="14" spans="1:9" x14ac:dyDescent="0.2">
      <c r="A14">
        <v>78</v>
      </c>
      <c r="B14">
        <v>75</v>
      </c>
      <c r="C14">
        <v>4.4000000000000004</v>
      </c>
      <c r="D14" s="3">
        <f t="shared" si="0"/>
        <v>0.20833333333333393</v>
      </c>
      <c r="E14">
        <f t="shared" si="1"/>
        <v>4.4000000000000003E-3</v>
      </c>
      <c r="F14" s="2">
        <f t="shared" si="2"/>
        <v>2.0833333333333294E-4</v>
      </c>
      <c r="H14">
        <f>C23*12</f>
        <v>50.3</v>
      </c>
      <c r="I14" t="s">
        <v>11</v>
      </c>
    </row>
    <row r="15" spans="1:9" x14ac:dyDescent="0.2">
      <c r="A15">
        <v>78</v>
      </c>
      <c r="B15">
        <v>125</v>
      </c>
      <c r="C15">
        <v>4.0999999999999996</v>
      </c>
      <c r="D15" s="3">
        <f t="shared" si="0"/>
        <v>9.1666666666666785E-2</v>
      </c>
      <c r="E15">
        <f t="shared" si="1"/>
        <v>4.0999999999999995E-3</v>
      </c>
      <c r="F15" s="2">
        <f t="shared" si="2"/>
        <v>9.1666666666667847E-5</v>
      </c>
      <c r="H15" s="5">
        <f>1-(H13/H14)</f>
        <v>0.90258449304174948</v>
      </c>
    </row>
    <row r="16" spans="1:9" x14ac:dyDescent="0.2">
      <c r="A16">
        <v>52</v>
      </c>
      <c r="B16">
        <v>50</v>
      </c>
      <c r="C16">
        <v>4.9000000000000004</v>
      </c>
      <c r="D16" s="3">
        <f t="shared" si="0"/>
        <v>0.70833333333333393</v>
      </c>
      <c r="E16">
        <f t="shared" si="1"/>
        <v>4.9000000000000007E-3</v>
      </c>
      <c r="F16" s="2">
        <f t="shared" si="2"/>
        <v>7.0833333333333338E-4</v>
      </c>
    </row>
    <row r="17" spans="1:6" x14ac:dyDescent="0.2">
      <c r="A17">
        <v>52</v>
      </c>
      <c r="B17">
        <v>100</v>
      </c>
      <c r="C17">
        <v>5</v>
      </c>
      <c r="D17" s="3">
        <f t="shared" si="0"/>
        <v>0.80833333333333357</v>
      </c>
      <c r="E17">
        <f t="shared" si="1"/>
        <v>5.0000000000000001E-3</v>
      </c>
      <c r="F17" s="2">
        <f t="shared" si="2"/>
        <v>8.0833333333333278E-4</v>
      </c>
    </row>
    <row r="18" spans="1:6" x14ac:dyDescent="0.2">
      <c r="A18">
        <v>26</v>
      </c>
      <c r="B18">
        <v>25</v>
      </c>
      <c r="C18">
        <v>4.2</v>
      </c>
      <c r="D18" s="3">
        <f t="shared" si="0"/>
        <v>8.3333333333337478E-3</v>
      </c>
      <c r="E18">
        <f t="shared" si="1"/>
        <v>4.2000000000000006E-3</v>
      </c>
      <c r="F18" s="2">
        <f t="shared" si="2"/>
        <v>8.3333333333332829E-6</v>
      </c>
    </row>
    <row r="19" spans="1:6" x14ac:dyDescent="0.2">
      <c r="A19">
        <v>26</v>
      </c>
      <c r="B19">
        <v>75</v>
      </c>
      <c r="C19">
        <v>4.8</v>
      </c>
      <c r="D19" s="3">
        <f t="shared" si="0"/>
        <v>0.60833333333333339</v>
      </c>
      <c r="E19">
        <f t="shared" si="1"/>
        <v>4.7999999999999996E-3</v>
      </c>
      <c r="F19" s="2">
        <f t="shared" si="2"/>
        <v>6.0833333333333225E-4</v>
      </c>
    </row>
    <row r="20" spans="1:6" x14ac:dyDescent="0.2">
      <c r="A20">
        <v>26</v>
      </c>
      <c r="B20">
        <v>125</v>
      </c>
      <c r="C20">
        <v>4</v>
      </c>
      <c r="D20" s="3">
        <f t="shared" si="0"/>
        <v>0.19166666666666643</v>
      </c>
      <c r="E20">
        <f t="shared" si="1"/>
        <v>4.0000000000000001E-3</v>
      </c>
      <c r="F20" s="2">
        <f t="shared" si="2"/>
        <v>1.9166666666666724E-4</v>
      </c>
    </row>
    <row r="21" spans="1:6" x14ac:dyDescent="0.2">
      <c r="A21">
        <v>0</v>
      </c>
      <c r="B21">
        <v>50</v>
      </c>
      <c r="C21">
        <v>4</v>
      </c>
      <c r="D21" s="3">
        <f t="shared" si="0"/>
        <v>0.19166666666666643</v>
      </c>
      <c r="E21">
        <f t="shared" si="1"/>
        <v>4.0000000000000001E-3</v>
      </c>
      <c r="F21" s="2">
        <f t="shared" si="2"/>
        <v>1.9166666666666724E-4</v>
      </c>
    </row>
    <row r="22" spans="1:6" x14ac:dyDescent="0.2">
      <c r="A22">
        <v>0</v>
      </c>
      <c r="B22">
        <v>100</v>
      </c>
      <c r="C22">
        <v>3.5</v>
      </c>
      <c r="D22" s="3">
        <f t="shared" si="0"/>
        <v>0.69166666666666643</v>
      </c>
      <c r="E22">
        <f t="shared" si="1"/>
        <v>3.5000000000000001E-3</v>
      </c>
      <c r="F22" s="2">
        <f t="shared" si="2"/>
        <v>6.9166666666666725E-4</v>
      </c>
    </row>
    <row r="23" spans="1:6" x14ac:dyDescent="0.2">
      <c r="C23" s="3">
        <f>AVERAGE(C11:C22)</f>
        <v>4.1916666666666664</v>
      </c>
      <c r="D23" t="s">
        <v>5</v>
      </c>
      <c r="E23" s="4">
        <f>AVERAGE(E11:E22)</f>
        <v>4.1916666666666673E-3</v>
      </c>
    </row>
    <row r="24" spans="1:6" x14ac:dyDescent="0.2">
      <c r="C24">
        <f>C23*12</f>
        <v>50.3</v>
      </c>
      <c r="D24" t="s">
        <v>2</v>
      </c>
    </row>
    <row r="25" spans="1:6" x14ac:dyDescent="0.2">
      <c r="C25">
        <f>C23*6</f>
        <v>25.15</v>
      </c>
      <c r="D25" t="s">
        <v>3</v>
      </c>
      <c r="F25" s="2"/>
    </row>
    <row r="26" spans="1:6" x14ac:dyDescent="0.2">
      <c r="C26">
        <f>C23/5</f>
        <v>0.83833333333333326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256F-9B39-2748-9274-E2B47A5CA4D5}">
  <dimension ref="A1:I35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25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3.5</v>
      </c>
      <c r="D11" s="3">
        <f t="shared" ref="D11:D22" si="0">ABS(C11-$C$23)</f>
        <v>0.63333333333333375</v>
      </c>
      <c r="E11">
        <f t="shared" ref="E11:E22" si="1">C11*0.001</f>
        <v>3.5000000000000001E-3</v>
      </c>
      <c r="F11" s="2">
        <f t="shared" ref="F11:F22" si="2">ABS(E11-$E$23)</f>
        <v>6.3333333333333427E-4</v>
      </c>
    </row>
    <row r="12" spans="1:9" x14ac:dyDescent="0.2">
      <c r="A12">
        <v>104</v>
      </c>
      <c r="B12">
        <v>100</v>
      </c>
      <c r="C12">
        <v>4</v>
      </c>
      <c r="D12" s="3">
        <f t="shared" si="0"/>
        <v>0.13333333333333375</v>
      </c>
      <c r="E12">
        <f t="shared" si="1"/>
        <v>4.0000000000000001E-3</v>
      </c>
      <c r="F12" s="2">
        <f t="shared" si="2"/>
        <v>1.3333333333333426E-4</v>
      </c>
      <c r="H12" t="s">
        <v>9</v>
      </c>
    </row>
    <row r="13" spans="1:9" x14ac:dyDescent="0.2">
      <c r="A13">
        <v>78</v>
      </c>
      <c r="B13">
        <v>25</v>
      </c>
      <c r="C13">
        <v>4</v>
      </c>
      <c r="D13" s="3">
        <f t="shared" si="0"/>
        <v>0.13333333333333375</v>
      </c>
      <c r="E13">
        <f t="shared" si="1"/>
        <v>4.0000000000000001E-3</v>
      </c>
      <c r="F13" s="2">
        <f t="shared" si="2"/>
        <v>1.3333333333333426E-4</v>
      </c>
      <c r="H13" s="3">
        <f>SUM(D11:D35)</f>
        <v>5.4000000000000021</v>
      </c>
      <c r="I13" t="s">
        <v>10</v>
      </c>
    </row>
    <row r="14" spans="1:9" x14ac:dyDescent="0.2">
      <c r="A14">
        <v>78</v>
      </c>
      <c r="B14">
        <v>75</v>
      </c>
      <c r="C14">
        <v>5</v>
      </c>
      <c r="D14" s="3">
        <f t="shared" si="0"/>
        <v>0.86666666666666625</v>
      </c>
      <c r="E14">
        <f t="shared" si="1"/>
        <v>5.0000000000000001E-3</v>
      </c>
      <c r="F14" s="2">
        <f t="shared" si="2"/>
        <v>8.6666666666666576E-4</v>
      </c>
      <c r="H14">
        <f>C23*12</f>
        <v>49.600000000000009</v>
      </c>
      <c r="I14" t="s">
        <v>11</v>
      </c>
    </row>
    <row r="15" spans="1:9" x14ac:dyDescent="0.2">
      <c r="A15">
        <v>78</v>
      </c>
      <c r="B15">
        <v>125</v>
      </c>
      <c r="C15">
        <v>4</v>
      </c>
      <c r="D15" s="3">
        <f t="shared" si="0"/>
        <v>0.13333333333333375</v>
      </c>
      <c r="E15">
        <f t="shared" si="1"/>
        <v>4.0000000000000001E-3</v>
      </c>
      <c r="F15" s="2">
        <f t="shared" si="2"/>
        <v>1.3333333333333426E-4</v>
      </c>
      <c r="H15" s="5">
        <f>1-(H13/H14)</f>
        <v>0.8911290322580645</v>
      </c>
    </row>
    <row r="16" spans="1:9" x14ac:dyDescent="0.2">
      <c r="A16">
        <v>52</v>
      </c>
      <c r="B16">
        <v>50</v>
      </c>
      <c r="C16">
        <v>5.0999999999999996</v>
      </c>
      <c r="D16" s="3">
        <f t="shared" si="0"/>
        <v>0.9666666666666659</v>
      </c>
      <c r="E16">
        <f t="shared" si="1"/>
        <v>5.0999999999999995E-3</v>
      </c>
      <c r="F16" s="2">
        <f t="shared" si="2"/>
        <v>9.6666666666666515E-4</v>
      </c>
    </row>
    <row r="17" spans="1:6" x14ac:dyDescent="0.2">
      <c r="A17">
        <v>52</v>
      </c>
      <c r="B17">
        <v>100</v>
      </c>
      <c r="C17">
        <v>5</v>
      </c>
      <c r="D17" s="3">
        <f t="shared" si="0"/>
        <v>0.86666666666666625</v>
      </c>
      <c r="E17">
        <f t="shared" si="1"/>
        <v>5.0000000000000001E-3</v>
      </c>
      <c r="F17" s="2">
        <f t="shared" si="2"/>
        <v>8.6666666666666576E-4</v>
      </c>
    </row>
    <row r="18" spans="1:6" x14ac:dyDescent="0.2">
      <c r="A18">
        <v>26</v>
      </c>
      <c r="B18">
        <v>25</v>
      </c>
      <c r="C18">
        <v>3.8</v>
      </c>
      <c r="D18" s="3">
        <f t="shared" si="0"/>
        <v>0.33333333333333393</v>
      </c>
      <c r="E18">
        <f t="shared" si="1"/>
        <v>3.8E-3</v>
      </c>
      <c r="F18" s="2">
        <f t="shared" si="2"/>
        <v>3.3333333333333435E-4</v>
      </c>
    </row>
    <row r="19" spans="1:6" x14ac:dyDescent="0.2">
      <c r="A19">
        <v>26</v>
      </c>
      <c r="B19">
        <v>75</v>
      </c>
      <c r="C19">
        <v>4</v>
      </c>
      <c r="D19" s="3">
        <f t="shared" si="0"/>
        <v>0.13333333333333375</v>
      </c>
      <c r="E19">
        <f t="shared" si="1"/>
        <v>4.0000000000000001E-3</v>
      </c>
      <c r="F19" s="2">
        <f t="shared" si="2"/>
        <v>1.3333333333333426E-4</v>
      </c>
    </row>
    <row r="20" spans="1:6" x14ac:dyDescent="0.2">
      <c r="A20">
        <v>26</v>
      </c>
      <c r="B20">
        <v>125</v>
      </c>
      <c r="C20">
        <v>4</v>
      </c>
      <c r="D20" s="3">
        <f t="shared" si="0"/>
        <v>0.13333333333333375</v>
      </c>
      <c r="E20">
        <f t="shared" si="1"/>
        <v>4.0000000000000001E-3</v>
      </c>
      <c r="F20" s="2">
        <f t="shared" si="2"/>
        <v>1.3333333333333426E-4</v>
      </c>
    </row>
    <row r="21" spans="1:6" x14ac:dyDescent="0.2">
      <c r="A21">
        <v>0</v>
      </c>
      <c r="B21">
        <v>50</v>
      </c>
      <c r="C21">
        <v>3.5</v>
      </c>
      <c r="D21" s="3">
        <f t="shared" si="0"/>
        <v>0.63333333333333375</v>
      </c>
      <c r="E21">
        <f t="shared" si="1"/>
        <v>3.5000000000000001E-3</v>
      </c>
      <c r="F21" s="2">
        <f t="shared" si="2"/>
        <v>6.3333333333333427E-4</v>
      </c>
    </row>
    <row r="22" spans="1:6" x14ac:dyDescent="0.2">
      <c r="A22">
        <v>0</v>
      </c>
      <c r="B22">
        <v>100</v>
      </c>
      <c r="C22">
        <v>3.7</v>
      </c>
      <c r="D22" s="3">
        <f t="shared" si="0"/>
        <v>0.43333333333333357</v>
      </c>
      <c r="E22">
        <f t="shared" si="1"/>
        <v>3.7000000000000002E-3</v>
      </c>
      <c r="F22" s="2">
        <f t="shared" si="2"/>
        <v>4.3333333333333418E-4</v>
      </c>
    </row>
    <row r="23" spans="1:6" x14ac:dyDescent="0.2">
      <c r="C23" s="3">
        <f>AVERAGE(C11:C22)</f>
        <v>4.1333333333333337</v>
      </c>
      <c r="D23" t="s">
        <v>5</v>
      </c>
      <c r="E23" s="4">
        <f>AVERAGE(E11:E22)</f>
        <v>4.1333333333333343E-3</v>
      </c>
    </row>
    <row r="24" spans="1:6" x14ac:dyDescent="0.2">
      <c r="C24">
        <f>C23*12</f>
        <v>49.600000000000009</v>
      </c>
      <c r="D24" t="s">
        <v>2</v>
      </c>
    </row>
    <row r="25" spans="1:6" x14ac:dyDescent="0.2">
      <c r="C25">
        <f>C23*6</f>
        <v>24.800000000000004</v>
      </c>
      <c r="D25" t="s">
        <v>3</v>
      </c>
      <c r="F25" s="2"/>
    </row>
    <row r="26" spans="1:6" x14ac:dyDescent="0.2">
      <c r="C26">
        <f>C23/5</f>
        <v>0.82666666666666677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7BD1-DAA3-DE4C-877E-E0881E49D914}">
  <dimension ref="A1:I35"/>
  <sheetViews>
    <sheetView workbookViewId="0">
      <selection activeCell="C3" sqref="C3:D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38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5.5</v>
      </c>
      <c r="D11" s="3">
        <f t="shared" ref="D11:D22" si="0">ABS(C11-$C$23)</f>
        <v>1.2583333333333337</v>
      </c>
      <c r="E11">
        <f t="shared" ref="E11:E22" si="1">C11*0.001</f>
        <v>5.4999999999999997E-3</v>
      </c>
      <c r="F11" s="2">
        <f t="shared" ref="F11:F22" si="2">ABS(E11-$E$23)</f>
        <v>1.2583333333333344E-3</v>
      </c>
    </row>
    <row r="12" spans="1:9" x14ac:dyDescent="0.2">
      <c r="A12">
        <v>104</v>
      </c>
      <c r="B12">
        <v>100</v>
      </c>
      <c r="C12">
        <v>6.9</v>
      </c>
      <c r="D12" s="3">
        <f t="shared" si="0"/>
        <v>0.14166666666666661</v>
      </c>
      <c r="E12">
        <f t="shared" si="1"/>
        <v>6.9000000000000008E-3</v>
      </c>
      <c r="F12" s="2">
        <f t="shared" si="2"/>
        <v>1.4166666666666668E-4</v>
      </c>
      <c r="H12" t="s">
        <v>9</v>
      </c>
    </row>
    <row r="13" spans="1:9" x14ac:dyDescent="0.2">
      <c r="A13">
        <v>78</v>
      </c>
      <c r="B13">
        <v>25</v>
      </c>
      <c r="C13">
        <v>7.1</v>
      </c>
      <c r="D13" s="3">
        <f t="shared" si="0"/>
        <v>0.3416666666666659</v>
      </c>
      <c r="E13">
        <f t="shared" si="1"/>
        <v>7.0999999999999995E-3</v>
      </c>
      <c r="F13" s="2">
        <f t="shared" si="2"/>
        <v>3.4166666666666547E-4</v>
      </c>
      <c r="H13" s="3">
        <f>SUM(D11:D35)</f>
        <v>13.18333333333333</v>
      </c>
      <c r="I13" t="s">
        <v>10</v>
      </c>
    </row>
    <row r="14" spans="1:9" x14ac:dyDescent="0.2">
      <c r="A14">
        <v>78</v>
      </c>
      <c r="B14">
        <v>75</v>
      </c>
      <c r="C14">
        <v>8.5</v>
      </c>
      <c r="D14" s="3">
        <f t="shared" si="0"/>
        <v>1.7416666666666663</v>
      </c>
      <c r="E14">
        <f t="shared" si="1"/>
        <v>8.5000000000000006E-3</v>
      </c>
      <c r="F14" s="2">
        <f t="shared" si="2"/>
        <v>1.7416666666666665E-3</v>
      </c>
      <c r="H14">
        <f>C23*12</f>
        <v>81.100000000000009</v>
      </c>
      <c r="I14" t="s">
        <v>11</v>
      </c>
    </row>
    <row r="15" spans="1:9" x14ac:dyDescent="0.2">
      <c r="A15">
        <v>78</v>
      </c>
      <c r="B15">
        <v>125</v>
      </c>
      <c r="C15">
        <v>7</v>
      </c>
      <c r="D15" s="3">
        <f t="shared" si="0"/>
        <v>0.24166666666666625</v>
      </c>
      <c r="E15">
        <f t="shared" si="1"/>
        <v>7.0000000000000001E-3</v>
      </c>
      <c r="F15" s="2">
        <f t="shared" si="2"/>
        <v>2.4166666666666607E-4</v>
      </c>
      <c r="H15" s="5">
        <f>1-(H13/H14)</f>
        <v>0.83744348540896019</v>
      </c>
    </row>
    <row r="16" spans="1:9" x14ac:dyDescent="0.2">
      <c r="A16">
        <v>52</v>
      </c>
      <c r="B16">
        <v>50</v>
      </c>
      <c r="C16">
        <v>8.9</v>
      </c>
      <c r="D16" s="3">
        <f t="shared" si="0"/>
        <v>2.1416666666666666</v>
      </c>
      <c r="E16">
        <f t="shared" si="1"/>
        <v>8.8999999999999999E-3</v>
      </c>
      <c r="F16" s="2">
        <f t="shared" si="2"/>
        <v>2.1416666666666659E-3</v>
      </c>
    </row>
    <row r="17" spans="1:6" x14ac:dyDescent="0.2">
      <c r="A17">
        <v>52</v>
      </c>
      <c r="B17">
        <v>100</v>
      </c>
      <c r="C17">
        <v>8.5</v>
      </c>
      <c r="D17" s="3">
        <f t="shared" si="0"/>
        <v>1.7416666666666663</v>
      </c>
      <c r="E17">
        <f t="shared" si="1"/>
        <v>8.5000000000000006E-3</v>
      </c>
      <c r="F17" s="2">
        <f t="shared" si="2"/>
        <v>1.7416666666666665E-3</v>
      </c>
    </row>
    <row r="18" spans="1:6" x14ac:dyDescent="0.2">
      <c r="A18">
        <v>26</v>
      </c>
      <c r="B18">
        <v>25</v>
      </c>
      <c r="C18">
        <v>6</v>
      </c>
      <c r="D18" s="3">
        <f t="shared" si="0"/>
        <v>0.75833333333333375</v>
      </c>
      <c r="E18">
        <f t="shared" si="1"/>
        <v>6.0000000000000001E-3</v>
      </c>
      <c r="F18" s="2">
        <f t="shared" si="2"/>
        <v>7.5833333333333395E-4</v>
      </c>
    </row>
    <row r="19" spans="1:6" x14ac:dyDescent="0.2">
      <c r="A19">
        <v>26</v>
      </c>
      <c r="B19">
        <v>75</v>
      </c>
      <c r="C19">
        <v>7</v>
      </c>
      <c r="D19" s="3">
        <f t="shared" si="0"/>
        <v>0.24166666666666625</v>
      </c>
      <c r="E19">
        <f t="shared" si="1"/>
        <v>7.0000000000000001E-3</v>
      </c>
      <c r="F19" s="2">
        <f t="shared" si="2"/>
        <v>2.4166666666666607E-4</v>
      </c>
    </row>
    <row r="20" spans="1:6" x14ac:dyDescent="0.2">
      <c r="A20">
        <v>26</v>
      </c>
      <c r="B20">
        <v>125</v>
      </c>
      <c r="C20">
        <v>5.5</v>
      </c>
      <c r="D20" s="3">
        <f t="shared" si="0"/>
        <v>1.2583333333333337</v>
      </c>
      <c r="E20">
        <f t="shared" si="1"/>
        <v>5.4999999999999997E-3</v>
      </c>
      <c r="F20" s="2">
        <f t="shared" si="2"/>
        <v>1.2583333333333344E-3</v>
      </c>
    </row>
    <row r="21" spans="1:6" x14ac:dyDescent="0.2">
      <c r="A21">
        <v>0</v>
      </c>
      <c r="B21">
        <v>50</v>
      </c>
      <c r="C21">
        <v>5</v>
      </c>
      <c r="D21" s="3">
        <f t="shared" si="0"/>
        <v>1.7583333333333337</v>
      </c>
      <c r="E21">
        <f t="shared" si="1"/>
        <v>5.0000000000000001E-3</v>
      </c>
      <c r="F21" s="2">
        <f t="shared" si="2"/>
        <v>1.758333333333334E-3</v>
      </c>
    </row>
    <row r="22" spans="1:6" x14ac:dyDescent="0.2">
      <c r="A22">
        <v>0</v>
      </c>
      <c r="B22">
        <v>100</v>
      </c>
      <c r="C22">
        <v>5.2</v>
      </c>
      <c r="D22" s="3">
        <f t="shared" si="0"/>
        <v>1.5583333333333336</v>
      </c>
      <c r="E22">
        <f t="shared" si="1"/>
        <v>5.2000000000000006E-3</v>
      </c>
      <c r="F22" s="2">
        <f t="shared" si="2"/>
        <v>1.5583333333333334E-3</v>
      </c>
    </row>
    <row r="23" spans="1:6" x14ac:dyDescent="0.2">
      <c r="C23" s="3">
        <f>AVERAGE(C11:C22)</f>
        <v>6.7583333333333337</v>
      </c>
      <c r="D23" t="s">
        <v>5</v>
      </c>
      <c r="E23" s="4">
        <f>AVERAGE(E11:E22)</f>
        <v>6.7583333333333341E-3</v>
      </c>
    </row>
    <row r="24" spans="1:6" x14ac:dyDescent="0.2">
      <c r="C24">
        <f>C23*12</f>
        <v>81.100000000000009</v>
      </c>
      <c r="D24" t="s">
        <v>2</v>
      </c>
    </row>
    <row r="25" spans="1:6" x14ac:dyDescent="0.2">
      <c r="C25">
        <f>C23*6</f>
        <v>40.550000000000004</v>
      </c>
      <c r="D25" t="s">
        <v>3</v>
      </c>
      <c r="F25" s="2"/>
    </row>
    <row r="26" spans="1:6" x14ac:dyDescent="0.2">
      <c r="C26">
        <f>C23/5</f>
        <v>1.3516666666666668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D658-7DAC-344D-9AA2-9C8F52417930}">
  <dimension ref="A1:I35"/>
  <sheetViews>
    <sheetView workbookViewId="0">
      <selection activeCell="C3" sqref="C3:D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38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5.8</v>
      </c>
      <c r="D11" s="3">
        <f t="shared" ref="D11:D22" si="0">ABS(C11-$C$23)</f>
        <v>0.94166666666666732</v>
      </c>
      <c r="E11">
        <f t="shared" ref="E11:E22" si="1">C11*0.001</f>
        <v>5.7999999999999996E-3</v>
      </c>
      <c r="F11" s="2">
        <f t="shared" ref="F11:F22" si="2">ABS(E11-$E$23)</f>
        <v>9.4166666666666704E-4</v>
      </c>
    </row>
    <row r="12" spans="1:9" x14ac:dyDescent="0.2">
      <c r="A12">
        <v>104</v>
      </c>
      <c r="B12">
        <v>100</v>
      </c>
      <c r="C12">
        <v>6.4</v>
      </c>
      <c r="D12" s="3">
        <f t="shared" si="0"/>
        <v>0.34166666666666679</v>
      </c>
      <c r="E12">
        <f t="shared" si="1"/>
        <v>6.4000000000000003E-3</v>
      </c>
      <c r="F12" s="2">
        <f t="shared" si="2"/>
        <v>3.4166666666666633E-4</v>
      </c>
      <c r="H12" t="s">
        <v>9</v>
      </c>
    </row>
    <row r="13" spans="1:9" x14ac:dyDescent="0.2">
      <c r="A13">
        <v>78</v>
      </c>
      <c r="B13">
        <v>25</v>
      </c>
      <c r="C13">
        <v>7</v>
      </c>
      <c r="D13" s="3">
        <f t="shared" si="0"/>
        <v>0.25833333333333286</v>
      </c>
      <c r="E13">
        <f t="shared" si="1"/>
        <v>7.0000000000000001E-3</v>
      </c>
      <c r="F13" s="2">
        <f t="shared" si="2"/>
        <v>2.583333333333335E-4</v>
      </c>
      <c r="H13" s="3">
        <f>SUM(D11:D35)</f>
        <v>13.100000000000003</v>
      </c>
      <c r="I13" t="s">
        <v>10</v>
      </c>
    </row>
    <row r="14" spans="1:9" x14ac:dyDescent="0.2">
      <c r="A14">
        <v>78</v>
      </c>
      <c r="B14">
        <v>75</v>
      </c>
      <c r="C14">
        <v>8.3000000000000007</v>
      </c>
      <c r="D14" s="3">
        <f t="shared" si="0"/>
        <v>1.5583333333333336</v>
      </c>
      <c r="E14">
        <f t="shared" si="1"/>
        <v>8.3000000000000001E-3</v>
      </c>
      <c r="F14" s="2">
        <f t="shared" si="2"/>
        <v>1.5583333333333334E-3</v>
      </c>
      <c r="H14">
        <f>C23*12</f>
        <v>80.900000000000006</v>
      </c>
      <c r="I14" t="s">
        <v>11</v>
      </c>
    </row>
    <row r="15" spans="1:9" x14ac:dyDescent="0.2">
      <c r="A15">
        <v>78</v>
      </c>
      <c r="B15">
        <v>125</v>
      </c>
      <c r="C15">
        <v>7</v>
      </c>
      <c r="D15" s="3">
        <f t="shared" si="0"/>
        <v>0.25833333333333286</v>
      </c>
      <c r="E15">
        <f t="shared" si="1"/>
        <v>7.0000000000000001E-3</v>
      </c>
      <c r="F15" s="2">
        <f t="shared" si="2"/>
        <v>2.583333333333335E-4</v>
      </c>
      <c r="H15" s="5">
        <f>1-(H13/H14)</f>
        <v>0.83807169344870203</v>
      </c>
    </row>
    <row r="16" spans="1:9" x14ac:dyDescent="0.2">
      <c r="A16">
        <v>52</v>
      </c>
      <c r="B16">
        <v>50</v>
      </c>
      <c r="C16">
        <v>8.8000000000000007</v>
      </c>
      <c r="D16" s="3">
        <f t="shared" si="0"/>
        <v>2.0583333333333336</v>
      </c>
      <c r="E16">
        <f t="shared" si="1"/>
        <v>8.8000000000000005E-3</v>
      </c>
      <c r="F16" s="2">
        <f t="shared" si="2"/>
        <v>2.0583333333333339E-3</v>
      </c>
    </row>
    <row r="17" spans="1:6" x14ac:dyDescent="0.2">
      <c r="A17">
        <v>52</v>
      </c>
      <c r="B17">
        <v>100</v>
      </c>
      <c r="C17">
        <v>8.9</v>
      </c>
      <c r="D17" s="3">
        <f t="shared" si="0"/>
        <v>2.1583333333333332</v>
      </c>
      <c r="E17">
        <f t="shared" si="1"/>
        <v>8.8999999999999999E-3</v>
      </c>
      <c r="F17" s="2">
        <f t="shared" si="2"/>
        <v>2.1583333333333333E-3</v>
      </c>
    </row>
    <row r="18" spans="1:6" x14ac:dyDescent="0.2">
      <c r="A18">
        <v>26</v>
      </c>
      <c r="B18">
        <v>25</v>
      </c>
      <c r="C18">
        <v>5.6</v>
      </c>
      <c r="D18" s="3">
        <f t="shared" si="0"/>
        <v>1.1416666666666675</v>
      </c>
      <c r="E18">
        <f t="shared" si="1"/>
        <v>5.5999999999999999E-3</v>
      </c>
      <c r="F18" s="2">
        <f t="shared" si="2"/>
        <v>1.1416666666666667E-3</v>
      </c>
    </row>
    <row r="19" spans="1:6" x14ac:dyDescent="0.2">
      <c r="A19">
        <v>26</v>
      </c>
      <c r="B19">
        <v>75</v>
      </c>
      <c r="C19">
        <v>7</v>
      </c>
      <c r="D19" s="3">
        <f t="shared" si="0"/>
        <v>0.25833333333333286</v>
      </c>
      <c r="E19">
        <f t="shared" si="1"/>
        <v>7.0000000000000001E-3</v>
      </c>
      <c r="F19" s="2">
        <f t="shared" si="2"/>
        <v>2.583333333333335E-4</v>
      </c>
    </row>
    <row r="20" spans="1:6" x14ac:dyDescent="0.2">
      <c r="A20">
        <v>26</v>
      </c>
      <c r="B20">
        <v>125</v>
      </c>
      <c r="C20">
        <v>5.7</v>
      </c>
      <c r="D20" s="3">
        <f t="shared" si="0"/>
        <v>1.041666666666667</v>
      </c>
      <c r="E20">
        <f t="shared" si="1"/>
        <v>5.7000000000000002E-3</v>
      </c>
      <c r="F20" s="2">
        <f t="shared" si="2"/>
        <v>1.0416666666666664E-3</v>
      </c>
    </row>
    <row r="21" spans="1:6" x14ac:dyDescent="0.2">
      <c r="A21">
        <v>0</v>
      </c>
      <c r="B21">
        <v>50</v>
      </c>
      <c r="C21">
        <v>5</v>
      </c>
      <c r="D21" s="3">
        <f t="shared" si="0"/>
        <v>1.7416666666666671</v>
      </c>
      <c r="E21">
        <f t="shared" si="1"/>
        <v>5.0000000000000001E-3</v>
      </c>
      <c r="F21" s="2">
        <f t="shared" si="2"/>
        <v>1.7416666666666665E-3</v>
      </c>
    </row>
    <row r="22" spans="1:6" x14ac:dyDescent="0.2">
      <c r="A22">
        <v>0</v>
      </c>
      <c r="B22">
        <v>100</v>
      </c>
      <c r="C22">
        <v>5.4</v>
      </c>
      <c r="D22" s="3">
        <f t="shared" si="0"/>
        <v>1.3416666666666668</v>
      </c>
      <c r="E22">
        <f t="shared" si="1"/>
        <v>5.4000000000000003E-3</v>
      </c>
      <c r="F22" s="2">
        <f t="shared" si="2"/>
        <v>1.3416666666666664E-3</v>
      </c>
    </row>
    <row r="23" spans="1:6" x14ac:dyDescent="0.2">
      <c r="C23" s="3">
        <f>AVERAGE(C11:C22)</f>
        <v>6.7416666666666671</v>
      </c>
      <c r="D23" t="s">
        <v>5</v>
      </c>
      <c r="E23" s="4">
        <f>AVERAGE(E11:E22)</f>
        <v>6.7416666666666666E-3</v>
      </c>
    </row>
    <row r="24" spans="1:6" x14ac:dyDescent="0.2">
      <c r="C24">
        <f>C23*12</f>
        <v>80.900000000000006</v>
      </c>
      <c r="D24" t="s">
        <v>2</v>
      </c>
    </row>
    <row r="25" spans="1:6" x14ac:dyDescent="0.2">
      <c r="C25">
        <f>C23*6</f>
        <v>40.450000000000003</v>
      </c>
      <c r="D25" t="s">
        <v>3</v>
      </c>
      <c r="F25" s="2"/>
    </row>
    <row r="26" spans="1:6" x14ac:dyDescent="0.2">
      <c r="C26">
        <f>C23/5</f>
        <v>1.3483333333333334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8EB9-5825-5646-BC15-B61A4AF0FB5D}">
  <dimension ref="A1:I35"/>
  <sheetViews>
    <sheetView workbookViewId="0">
      <selection activeCell="C3" sqref="C3:D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38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6.1</v>
      </c>
      <c r="D11" s="3">
        <f t="shared" ref="D11:D22" si="0">ABS(C11-$C$23)</f>
        <v>0.70833333333333393</v>
      </c>
      <c r="E11">
        <f t="shared" ref="E11:E22" si="1">C11*0.001</f>
        <v>6.0999999999999995E-3</v>
      </c>
      <c r="F11" s="2">
        <f t="shared" ref="F11:F22" si="2">ABS(E11-$E$23)</f>
        <v>7.0833333333333425E-4</v>
      </c>
    </row>
    <row r="12" spans="1:9" x14ac:dyDescent="0.2">
      <c r="A12">
        <v>104</v>
      </c>
      <c r="B12">
        <v>100</v>
      </c>
      <c r="C12">
        <v>6.2</v>
      </c>
      <c r="D12" s="3">
        <f t="shared" si="0"/>
        <v>0.60833333333333339</v>
      </c>
      <c r="E12">
        <f t="shared" si="1"/>
        <v>6.2000000000000006E-3</v>
      </c>
      <c r="F12" s="2">
        <f t="shared" si="2"/>
        <v>6.0833333333333312E-4</v>
      </c>
      <c r="H12" t="s">
        <v>9</v>
      </c>
    </row>
    <row r="13" spans="1:9" x14ac:dyDescent="0.2">
      <c r="A13">
        <v>78</v>
      </c>
      <c r="B13">
        <v>25</v>
      </c>
      <c r="C13">
        <v>7</v>
      </c>
      <c r="D13" s="3">
        <f t="shared" si="0"/>
        <v>0.19166666666666643</v>
      </c>
      <c r="E13">
        <f t="shared" si="1"/>
        <v>7.0000000000000001E-3</v>
      </c>
      <c r="F13" s="2">
        <f t="shared" si="2"/>
        <v>1.9166666666666637E-4</v>
      </c>
      <c r="H13" s="3">
        <f>SUM(D11:D35)</f>
        <v>14.7</v>
      </c>
      <c r="I13" t="s">
        <v>10</v>
      </c>
    </row>
    <row r="14" spans="1:9" x14ac:dyDescent="0.2">
      <c r="A14">
        <v>78</v>
      </c>
      <c r="B14">
        <v>75</v>
      </c>
      <c r="C14">
        <v>8</v>
      </c>
      <c r="D14" s="3">
        <f t="shared" si="0"/>
        <v>1.1916666666666664</v>
      </c>
      <c r="E14">
        <f t="shared" si="1"/>
        <v>8.0000000000000002E-3</v>
      </c>
      <c r="F14" s="2">
        <f t="shared" si="2"/>
        <v>1.1916666666666664E-3</v>
      </c>
      <c r="H14">
        <f>C23*12</f>
        <v>81.7</v>
      </c>
      <c r="I14" t="s">
        <v>11</v>
      </c>
    </row>
    <row r="15" spans="1:9" x14ac:dyDescent="0.2">
      <c r="A15">
        <v>78</v>
      </c>
      <c r="B15">
        <v>125</v>
      </c>
      <c r="C15">
        <v>7.1</v>
      </c>
      <c r="D15" s="3">
        <f t="shared" si="0"/>
        <v>0.29166666666666607</v>
      </c>
      <c r="E15">
        <f t="shared" si="1"/>
        <v>7.0999999999999995E-3</v>
      </c>
      <c r="F15" s="2">
        <f t="shared" si="2"/>
        <v>2.9166666666666577E-4</v>
      </c>
      <c r="H15" s="5">
        <f>1-(H13/H14)</f>
        <v>0.82007343941248467</v>
      </c>
    </row>
    <row r="16" spans="1:9" x14ac:dyDescent="0.2">
      <c r="A16">
        <v>52</v>
      </c>
      <c r="B16">
        <v>50</v>
      </c>
      <c r="C16">
        <v>8.6999999999999993</v>
      </c>
      <c r="D16" s="3">
        <f t="shared" si="0"/>
        <v>1.8916666666666657</v>
      </c>
      <c r="E16">
        <f t="shared" si="1"/>
        <v>8.6999999999999994E-3</v>
      </c>
      <c r="F16" s="2">
        <f t="shared" si="2"/>
        <v>1.8916666666666656E-3</v>
      </c>
    </row>
    <row r="17" spans="1:6" x14ac:dyDescent="0.2">
      <c r="A17">
        <v>52</v>
      </c>
      <c r="B17">
        <v>100</v>
      </c>
      <c r="C17">
        <v>9</v>
      </c>
      <c r="D17" s="3">
        <f t="shared" si="0"/>
        <v>2.1916666666666664</v>
      </c>
      <c r="E17">
        <f t="shared" si="1"/>
        <v>9.0000000000000011E-3</v>
      </c>
      <c r="F17" s="2">
        <f t="shared" si="2"/>
        <v>2.1916666666666673E-3</v>
      </c>
    </row>
    <row r="18" spans="1:6" x14ac:dyDescent="0.2">
      <c r="A18">
        <v>26</v>
      </c>
      <c r="B18">
        <v>25</v>
      </c>
      <c r="C18">
        <v>5.5</v>
      </c>
      <c r="D18" s="3">
        <f t="shared" si="0"/>
        <v>1.3083333333333336</v>
      </c>
      <c r="E18">
        <f t="shared" si="1"/>
        <v>5.4999999999999997E-3</v>
      </c>
      <c r="F18" s="2">
        <f t="shared" si="2"/>
        <v>1.3083333333333341E-3</v>
      </c>
    </row>
    <row r="19" spans="1:6" x14ac:dyDescent="0.2">
      <c r="A19">
        <v>26</v>
      </c>
      <c r="B19">
        <v>75</v>
      </c>
      <c r="C19">
        <v>8.4</v>
      </c>
      <c r="D19" s="3">
        <f t="shared" si="0"/>
        <v>1.5916666666666668</v>
      </c>
      <c r="E19">
        <f t="shared" si="1"/>
        <v>8.4000000000000012E-3</v>
      </c>
      <c r="F19" s="2">
        <f t="shared" si="2"/>
        <v>1.5916666666666674E-3</v>
      </c>
    </row>
    <row r="20" spans="1:6" x14ac:dyDescent="0.2">
      <c r="A20">
        <v>26</v>
      </c>
      <c r="B20">
        <v>125</v>
      </c>
      <c r="C20">
        <v>5.7</v>
      </c>
      <c r="D20" s="3">
        <f t="shared" si="0"/>
        <v>1.1083333333333334</v>
      </c>
      <c r="E20">
        <f t="shared" si="1"/>
        <v>5.7000000000000002E-3</v>
      </c>
      <c r="F20" s="2">
        <f t="shared" si="2"/>
        <v>1.1083333333333336E-3</v>
      </c>
    </row>
    <row r="21" spans="1:6" x14ac:dyDescent="0.2">
      <c r="A21">
        <v>0</v>
      </c>
      <c r="B21">
        <v>50</v>
      </c>
      <c r="C21">
        <v>5</v>
      </c>
      <c r="D21" s="3">
        <f t="shared" si="0"/>
        <v>1.8083333333333336</v>
      </c>
      <c r="E21">
        <f t="shared" si="1"/>
        <v>5.0000000000000001E-3</v>
      </c>
      <c r="F21" s="2">
        <f t="shared" si="2"/>
        <v>1.8083333333333337E-3</v>
      </c>
    </row>
    <row r="22" spans="1:6" x14ac:dyDescent="0.2">
      <c r="A22">
        <v>0</v>
      </c>
      <c r="B22">
        <v>100</v>
      </c>
      <c r="C22">
        <v>5</v>
      </c>
      <c r="D22" s="3">
        <f t="shared" si="0"/>
        <v>1.8083333333333336</v>
      </c>
      <c r="E22">
        <f t="shared" si="1"/>
        <v>5.0000000000000001E-3</v>
      </c>
      <c r="F22" s="2">
        <f t="shared" si="2"/>
        <v>1.8083333333333337E-3</v>
      </c>
    </row>
    <row r="23" spans="1:6" x14ac:dyDescent="0.2">
      <c r="C23" s="3">
        <f>AVERAGE(C11:C22)</f>
        <v>6.8083333333333336</v>
      </c>
      <c r="D23" t="s">
        <v>5</v>
      </c>
      <c r="E23" s="4">
        <f>AVERAGE(E11:E22)</f>
        <v>6.8083333333333338E-3</v>
      </c>
    </row>
    <row r="24" spans="1:6" x14ac:dyDescent="0.2">
      <c r="C24">
        <f>C23*12</f>
        <v>81.7</v>
      </c>
      <c r="D24" t="s">
        <v>2</v>
      </c>
    </row>
    <row r="25" spans="1:6" x14ac:dyDescent="0.2">
      <c r="C25">
        <f>C23*6</f>
        <v>40.85</v>
      </c>
      <c r="D25" t="s">
        <v>3</v>
      </c>
      <c r="F25" s="2"/>
    </row>
    <row r="26" spans="1:6" x14ac:dyDescent="0.2">
      <c r="C26">
        <f>C23/5</f>
        <v>1.3616666666666668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707A-9AA1-E14C-942F-11C8D9CDCF23}">
  <dimension ref="A1:I3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4.9000000000000004</v>
      </c>
      <c r="D11" s="3">
        <f t="shared" ref="D11:D22" si="0">ABS(C11-$C$23)</f>
        <v>0.27499999999999947</v>
      </c>
      <c r="E11">
        <f t="shared" ref="E11:E22" si="1">C11*0.001</f>
        <v>4.9000000000000007E-3</v>
      </c>
      <c r="F11" s="2">
        <f t="shared" ref="F11:F22" si="2">ABS(E11-$E$23)</f>
        <v>2.749999999999992E-4</v>
      </c>
    </row>
    <row r="12" spans="1:9" x14ac:dyDescent="0.2">
      <c r="A12">
        <v>104</v>
      </c>
      <c r="B12">
        <v>100</v>
      </c>
      <c r="C12">
        <v>4.8</v>
      </c>
      <c r="D12" s="3">
        <f t="shared" si="0"/>
        <v>0.375</v>
      </c>
      <c r="E12">
        <f t="shared" si="1"/>
        <v>4.7999999999999996E-3</v>
      </c>
      <c r="F12" s="2">
        <f t="shared" si="2"/>
        <v>3.7500000000000033E-4</v>
      </c>
      <c r="H12" t="s">
        <v>9</v>
      </c>
    </row>
    <row r="13" spans="1:9" x14ac:dyDescent="0.2">
      <c r="A13">
        <v>78</v>
      </c>
      <c r="B13">
        <v>25</v>
      </c>
      <c r="C13">
        <v>4.9000000000000004</v>
      </c>
      <c r="D13" s="3">
        <f t="shared" si="0"/>
        <v>0.27499999999999947</v>
      </c>
      <c r="E13">
        <f t="shared" si="1"/>
        <v>4.9000000000000007E-3</v>
      </c>
      <c r="F13" s="2">
        <f t="shared" si="2"/>
        <v>2.749999999999992E-4</v>
      </c>
      <c r="H13" s="3">
        <f>SUM(D11:D35)</f>
        <v>9.0500000000000007</v>
      </c>
      <c r="I13" t="s">
        <v>10</v>
      </c>
    </row>
    <row r="14" spans="1:9" x14ac:dyDescent="0.2">
      <c r="A14">
        <v>78</v>
      </c>
      <c r="B14">
        <v>75</v>
      </c>
      <c r="C14">
        <v>5.2</v>
      </c>
      <c r="D14" s="3">
        <f t="shared" si="0"/>
        <v>2.5000000000000355E-2</v>
      </c>
      <c r="E14">
        <f t="shared" si="1"/>
        <v>5.2000000000000006E-3</v>
      </c>
      <c r="F14" s="2">
        <f t="shared" si="2"/>
        <v>2.5000000000000716E-5</v>
      </c>
      <c r="H14">
        <f>C23*12</f>
        <v>62.099999999999994</v>
      </c>
      <c r="I14" t="s">
        <v>11</v>
      </c>
    </row>
    <row r="15" spans="1:9" x14ac:dyDescent="0.2">
      <c r="A15">
        <v>78</v>
      </c>
      <c r="B15">
        <v>125</v>
      </c>
      <c r="C15">
        <v>5.3</v>
      </c>
      <c r="D15" s="3">
        <f t="shared" si="0"/>
        <v>0.125</v>
      </c>
      <c r="E15">
        <f t="shared" si="1"/>
        <v>5.3E-3</v>
      </c>
      <c r="F15" s="2">
        <f t="shared" si="2"/>
        <v>1.2500000000000011E-4</v>
      </c>
      <c r="H15" s="5">
        <f>1-(H13/H14)</f>
        <v>0.85426731078904994</v>
      </c>
    </row>
    <row r="16" spans="1:9" x14ac:dyDescent="0.2">
      <c r="A16">
        <v>52</v>
      </c>
      <c r="B16">
        <v>50</v>
      </c>
      <c r="C16">
        <v>6.4</v>
      </c>
      <c r="D16" s="3">
        <f t="shared" si="0"/>
        <v>1.2250000000000005</v>
      </c>
      <c r="E16">
        <f t="shared" si="1"/>
        <v>6.4000000000000003E-3</v>
      </c>
      <c r="F16" s="2">
        <f t="shared" si="2"/>
        <v>1.2250000000000004E-3</v>
      </c>
    </row>
    <row r="17" spans="1:6" x14ac:dyDescent="0.2">
      <c r="A17">
        <v>52</v>
      </c>
      <c r="B17">
        <v>100</v>
      </c>
      <c r="C17">
        <v>6.7</v>
      </c>
      <c r="D17" s="3">
        <f t="shared" si="0"/>
        <v>1.5250000000000004</v>
      </c>
      <c r="E17">
        <f t="shared" si="1"/>
        <v>6.7000000000000002E-3</v>
      </c>
      <c r="F17" s="2">
        <f t="shared" si="2"/>
        <v>1.5250000000000003E-3</v>
      </c>
    </row>
    <row r="18" spans="1:6" x14ac:dyDescent="0.2">
      <c r="A18">
        <v>26</v>
      </c>
      <c r="B18">
        <v>25</v>
      </c>
      <c r="C18">
        <v>4</v>
      </c>
      <c r="D18" s="3">
        <f t="shared" si="0"/>
        <v>1.1749999999999998</v>
      </c>
      <c r="E18">
        <f t="shared" si="1"/>
        <v>4.0000000000000001E-3</v>
      </c>
      <c r="F18" s="2">
        <f t="shared" si="2"/>
        <v>1.1749999999999998E-3</v>
      </c>
    </row>
    <row r="19" spans="1:6" x14ac:dyDescent="0.2">
      <c r="A19">
        <v>26</v>
      </c>
      <c r="B19">
        <v>75</v>
      </c>
      <c r="C19">
        <v>6.8</v>
      </c>
      <c r="D19" s="3">
        <f t="shared" si="0"/>
        <v>1.625</v>
      </c>
      <c r="E19">
        <f t="shared" si="1"/>
        <v>6.7999999999999996E-3</v>
      </c>
      <c r="F19" s="2">
        <f t="shared" si="2"/>
        <v>1.6249999999999997E-3</v>
      </c>
    </row>
    <row r="20" spans="1:6" x14ac:dyDescent="0.2">
      <c r="A20">
        <v>26</v>
      </c>
      <c r="B20">
        <v>125</v>
      </c>
      <c r="C20">
        <v>4.5999999999999996</v>
      </c>
      <c r="D20" s="3">
        <f t="shared" si="0"/>
        <v>0.57500000000000018</v>
      </c>
      <c r="E20">
        <f t="shared" si="1"/>
        <v>4.5999999999999999E-3</v>
      </c>
      <c r="F20" s="2">
        <f t="shared" si="2"/>
        <v>5.7499999999999999E-4</v>
      </c>
    </row>
    <row r="21" spans="1:6" x14ac:dyDescent="0.2">
      <c r="A21">
        <v>0</v>
      </c>
      <c r="B21">
        <v>50</v>
      </c>
      <c r="C21">
        <v>4</v>
      </c>
      <c r="D21" s="3">
        <f t="shared" si="0"/>
        <v>1.1749999999999998</v>
      </c>
      <c r="E21">
        <f t="shared" si="1"/>
        <v>4.0000000000000001E-3</v>
      </c>
      <c r="F21" s="2">
        <f t="shared" si="2"/>
        <v>1.1749999999999998E-3</v>
      </c>
    </row>
    <row r="22" spans="1:6" x14ac:dyDescent="0.2">
      <c r="A22">
        <v>0</v>
      </c>
      <c r="B22">
        <v>100</v>
      </c>
      <c r="C22">
        <v>4.5</v>
      </c>
      <c r="D22" s="3">
        <f t="shared" si="0"/>
        <v>0.67499999999999982</v>
      </c>
      <c r="E22">
        <f t="shared" si="1"/>
        <v>4.5000000000000005E-3</v>
      </c>
      <c r="F22" s="2">
        <f t="shared" si="2"/>
        <v>6.7499999999999939E-4</v>
      </c>
    </row>
    <row r="23" spans="1:6" x14ac:dyDescent="0.2">
      <c r="C23" s="3">
        <f>AVERAGE(C11:C22)</f>
        <v>5.1749999999999998</v>
      </c>
      <c r="D23" t="s">
        <v>5</v>
      </c>
      <c r="E23" s="4">
        <f>AVERAGE(E11:E22)</f>
        <v>5.1749999999999999E-3</v>
      </c>
    </row>
    <row r="24" spans="1:6" x14ac:dyDescent="0.2">
      <c r="C24">
        <f>C23*12</f>
        <v>62.099999999999994</v>
      </c>
      <c r="D24" t="s">
        <v>2</v>
      </c>
    </row>
    <row r="25" spans="1:6" x14ac:dyDescent="0.2">
      <c r="C25">
        <f>C23*6</f>
        <v>31.049999999999997</v>
      </c>
      <c r="D25" t="s">
        <v>3</v>
      </c>
      <c r="F25" s="2"/>
    </row>
    <row r="26" spans="1:6" x14ac:dyDescent="0.2">
      <c r="C26">
        <f>C23/5</f>
        <v>1.0349999999999999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6256-9797-434C-BC7C-57B2183C1AC0}">
  <dimension ref="A1:I3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4.7</v>
      </c>
      <c r="D11" s="3">
        <f t="shared" ref="D11:D22" si="0">ABS(C11-$C$23)</f>
        <v>0.61666666666666625</v>
      </c>
      <c r="E11">
        <f t="shared" ref="E11:E22" si="1">C11*0.001</f>
        <v>4.7000000000000002E-3</v>
      </c>
      <c r="F11" s="2">
        <f t="shared" ref="F11:F22" si="2">ABS(E11-$E$23)</f>
        <v>6.166666666666664E-4</v>
      </c>
    </row>
    <row r="12" spans="1:9" x14ac:dyDescent="0.2">
      <c r="A12">
        <v>104</v>
      </c>
      <c r="B12">
        <v>100</v>
      </c>
      <c r="C12">
        <v>5</v>
      </c>
      <c r="D12" s="3">
        <f t="shared" si="0"/>
        <v>0.31666666666666643</v>
      </c>
      <c r="E12">
        <f t="shared" si="1"/>
        <v>5.0000000000000001E-3</v>
      </c>
      <c r="F12" s="2">
        <f t="shared" si="2"/>
        <v>3.1666666666666649E-4</v>
      </c>
      <c r="H12" t="s">
        <v>9</v>
      </c>
    </row>
    <row r="13" spans="1:9" x14ac:dyDescent="0.2">
      <c r="A13">
        <v>78</v>
      </c>
      <c r="B13">
        <v>25</v>
      </c>
      <c r="C13">
        <v>4.9000000000000004</v>
      </c>
      <c r="D13" s="3">
        <f t="shared" si="0"/>
        <v>0.41666666666666607</v>
      </c>
      <c r="E13">
        <f t="shared" si="1"/>
        <v>4.9000000000000007E-3</v>
      </c>
      <c r="F13" s="2">
        <f t="shared" si="2"/>
        <v>4.1666666666666588E-4</v>
      </c>
      <c r="H13" s="3">
        <f>SUM(D11:D35)</f>
        <v>12.033333333333331</v>
      </c>
      <c r="I13" t="s">
        <v>10</v>
      </c>
    </row>
    <row r="14" spans="1:9" x14ac:dyDescent="0.2">
      <c r="A14">
        <v>78</v>
      </c>
      <c r="B14">
        <v>75</v>
      </c>
      <c r="C14">
        <v>6</v>
      </c>
      <c r="D14" s="3">
        <f t="shared" si="0"/>
        <v>0.68333333333333357</v>
      </c>
      <c r="E14">
        <f t="shared" si="1"/>
        <v>6.0000000000000001E-3</v>
      </c>
      <c r="F14" s="2">
        <f t="shared" si="2"/>
        <v>6.8333333333333354E-4</v>
      </c>
      <c r="H14">
        <f>C23*12</f>
        <v>63.8</v>
      </c>
      <c r="I14" t="s">
        <v>11</v>
      </c>
    </row>
    <row r="15" spans="1:9" x14ac:dyDescent="0.2">
      <c r="A15">
        <v>78</v>
      </c>
      <c r="B15">
        <v>125</v>
      </c>
      <c r="C15">
        <v>5.5</v>
      </c>
      <c r="D15" s="3">
        <f t="shared" si="0"/>
        <v>0.18333333333333357</v>
      </c>
      <c r="E15">
        <f t="shared" si="1"/>
        <v>5.4999999999999997E-3</v>
      </c>
      <c r="F15" s="2">
        <f t="shared" si="2"/>
        <v>1.8333333333333309E-4</v>
      </c>
      <c r="H15" s="5">
        <f>1-(H13/H14)</f>
        <v>0.81138975966562177</v>
      </c>
    </row>
    <row r="16" spans="1:9" x14ac:dyDescent="0.2">
      <c r="A16">
        <v>52</v>
      </c>
      <c r="B16">
        <v>50</v>
      </c>
      <c r="C16">
        <v>6.8</v>
      </c>
      <c r="D16" s="3">
        <f t="shared" si="0"/>
        <v>1.4833333333333334</v>
      </c>
      <c r="E16">
        <f t="shared" si="1"/>
        <v>6.7999999999999996E-3</v>
      </c>
      <c r="F16" s="2">
        <f t="shared" si="2"/>
        <v>1.483333333333333E-3</v>
      </c>
    </row>
    <row r="17" spans="1:6" x14ac:dyDescent="0.2">
      <c r="A17">
        <v>52</v>
      </c>
      <c r="B17">
        <v>100</v>
      </c>
      <c r="C17">
        <v>7.5</v>
      </c>
      <c r="D17" s="3">
        <f t="shared" si="0"/>
        <v>2.1833333333333336</v>
      </c>
      <c r="E17">
        <f t="shared" si="1"/>
        <v>7.4999999999999997E-3</v>
      </c>
      <c r="F17" s="2">
        <f t="shared" si="2"/>
        <v>2.1833333333333331E-3</v>
      </c>
    </row>
    <row r="18" spans="1:6" x14ac:dyDescent="0.2">
      <c r="A18">
        <v>26</v>
      </c>
      <c r="B18">
        <v>25</v>
      </c>
      <c r="C18">
        <v>4</v>
      </c>
      <c r="D18" s="3">
        <f t="shared" si="0"/>
        <v>1.3166666666666664</v>
      </c>
      <c r="E18">
        <f t="shared" si="1"/>
        <v>4.0000000000000001E-3</v>
      </c>
      <c r="F18" s="2">
        <f t="shared" si="2"/>
        <v>1.3166666666666665E-3</v>
      </c>
    </row>
    <row r="19" spans="1:6" x14ac:dyDescent="0.2">
      <c r="A19">
        <v>26</v>
      </c>
      <c r="B19">
        <v>75</v>
      </c>
      <c r="C19">
        <v>6.8</v>
      </c>
      <c r="D19" s="3">
        <f t="shared" si="0"/>
        <v>1.4833333333333334</v>
      </c>
      <c r="E19">
        <f t="shared" si="1"/>
        <v>6.7999999999999996E-3</v>
      </c>
      <c r="F19" s="2">
        <f t="shared" si="2"/>
        <v>1.483333333333333E-3</v>
      </c>
    </row>
    <row r="20" spans="1:6" x14ac:dyDescent="0.2">
      <c r="A20">
        <v>26</v>
      </c>
      <c r="B20">
        <v>125</v>
      </c>
      <c r="C20">
        <v>4.4000000000000004</v>
      </c>
      <c r="D20" s="3">
        <f t="shared" si="0"/>
        <v>0.91666666666666607</v>
      </c>
      <c r="E20">
        <f t="shared" si="1"/>
        <v>4.4000000000000003E-3</v>
      </c>
      <c r="F20" s="2">
        <f t="shared" si="2"/>
        <v>9.1666666666666632E-4</v>
      </c>
    </row>
    <row r="21" spans="1:6" x14ac:dyDescent="0.2">
      <c r="A21">
        <v>0</v>
      </c>
      <c r="B21">
        <v>50</v>
      </c>
      <c r="C21">
        <v>4</v>
      </c>
      <c r="D21" s="3">
        <f t="shared" si="0"/>
        <v>1.3166666666666664</v>
      </c>
      <c r="E21">
        <f t="shared" si="1"/>
        <v>4.0000000000000001E-3</v>
      </c>
      <c r="F21" s="2">
        <f t="shared" si="2"/>
        <v>1.3166666666666665E-3</v>
      </c>
    </row>
    <row r="22" spans="1:6" x14ac:dyDescent="0.2">
      <c r="A22">
        <v>0</v>
      </c>
      <c r="B22">
        <v>100</v>
      </c>
      <c r="C22">
        <v>4.2</v>
      </c>
      <c r="D22" s="3">
        <f t="shared" si="0"/>
        <v>1.1166666666666663</v>
      </c>
      <c r="E22">
        <f t="shared" si="1"/>
        <v>4.2000000000000006E-3</v>
      </c>
      <c r="F22" s="2">
        <f t="shared" si="2"/>
        <v>1.116666666666666E-3</v>
      </c>
    </row>
    <row r="23" spans="1:6" x14ac:dyDescent="0.2">
      <c r="C23" s="3">
        <f>AVERAGE(C11:C22)</f>
        <v>5.3166666666666664</v>
      </c>
      <c r="D23" t="s">
        <v>5</v>
      </c>
      <c r="E23" s="4">
        <f>AVERAGE(E11:E22)</f>
        <v>5.3166666666666666E-3</v>
      </c>
    </row>
    <row r="24" spans="1:6" x14ac:dyDescent="0.2">
      <c r="C24">
        <f>C23*12</f>
        <v>63.8</v>
      </c>
      <c r="D24" t="s">
        <v>2</v>
      </c>
    </row>
    <row r="25" spans="1:6" x14ac:dyDescent="0.2">
      <c r="C25">
        <f>C23*6</f>
        <v>31.9</v>
      </c>
      <c r="D25" t="s">
        <v>3</v>
      </c>
      <c r="F25" s="2"/>
    </row>
    <row r="26" spans="1:6" x14ac:dyDescent="0.2">
      <c r="C26">
        <f>C23/5</f>
        <v>1.0633333333333332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82F8-0F87-C647-A7BB-2AEECED2EB78}">
  <dimension ref="A1:I35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460.72800000000001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4.5</v>
      </c>
      <c r="D11" s="3">
        <f t="shared" ref="D11:D22" si="0">ABS(C11-$C$23)</f>
        <v>0.80833333333333268</v>
      </c>
      <c r="E11">
        <f t="shared" ref="E11:E22" si="1">C11*0.001</f>
        <v>4.5000000000000005E-3</v>
      </c>
      <c r="F11" s="2">
        <f t="shared" ref="F11:F22" si="2">ABS(E11-$E$23)</f>
        <v>8.0833333333333365E-4</v>
      </c>
    </row>
    <row r="12" spans="1:9" x14ac:dyDescent="0.2">
      <c r="A12">
        <v>104</v>
      </c>
      <c r="B12">
        <v>100</v>
      </c>
      <c r="C12">
        <v>4.8</v>
      </c>
      <c r="D12" s="3">
        <f t="shared" si="0"/>
        <v>0.50833333333333286</v>
      </c>
      <c r="E12">
        <f t="shared" si="1"/>
        <v>4.7999999999999996E-3</v>
      </c>
      <c r="F12" s="2">
        <f t="shared" si="2"/>
        <v>5.0833333333333459E-4</v>
      </c>
      <c r="H12" t="s">
        <v>9</v>
      </c>
    </row>
    <row r="13" spans="1:9" x14ac:dyDescent="0.2">
      <c r="A13">
        <v>78</v>
      </c>
      <c r="B13">
        <v>25</v>
      </c>
      <c r="C13">
        <v>5</v>
      </c>
      <c r="D13" s="3">
        <f t="shared" si="0"/>
        <v>0.30833333333333268</v>
      </c>
      <c r="E13">
        <f t="shared" si="1"/>
        <v>5.0000000000000001E-3</v>
      </c>
      <c r="F13" s="2">
        <f t="shared" si="2"/>
        <v>3.0833333333333407E-4</v>
      </c>
      <c r="H13" s="3">
        <f>SUM(D11:D35)</f>
        <v>10.533333333333331</v>
      </c>
      <c r="I13" t="s">
        <v>10</v>
      </c>
    </row>
    <row r="14" spans="1:9" x14ac:dyDescent="0.2">
      <c r="A14">
        <v>78</v>
      </c>
      <c r="B14">
        <v>75</v>
      </c>
      <c r="C14">
        <v>5.9</v>
      </c>
      <c r="D14" s="3">
        <f t="shared" si="0"/>
        <v>0.59166666666666767</v>
      </c>
      <c r="E14">
        <f t="shared" si="1"/>
        <v>5.9000000000000007E-3</v>
      </c>
      <c r="F14" s="2">
        <f t="shared" si="2"/>
        <v>5.9166666666666656E-4</v>
      </c>
      <c r="H14">
        <f>C23*12</f>
        <v>63.699999999999989</v>
      </c>
      <c r="I14" t="s">
        <v>11</v>
      </c>
    </row>
    <row r="15" spans="1:9" x14ac:dyDescent="0.2">
      <c r="A15">
        <v>78</v>
      </c>
      <c r="B15">
        <v>125</v>
      </c>
      <c r="C15">
        <v>5.2</v>
      </c>
      <c r="D15" s="3">
        <f t="shared" si="0"/>
        <v>0.1083333333333325</v>
      </c>
      <c r="E15">
        <f t="shared" si="1"/>
        <v>5.2000000000000006E-3</v>
      </c>
      <c r="F15" s="2">
        <f t="shared" si="2"/>
        <v>1.0833333333333355E-4</v>
      </c>
      <c r="H15" s="5">
        <f>1-(H13/H14)</f>
        <v>0.83464154892726317</v>
      </c>
    </row>
    <row r="16" spans="1:9" x14ac:dyDescent="0.2">
      <c r="A16">
        <v>52</v>
      </c>
      <c r="B16">
        <v>50</v>
      </c>
      <c r="C16">
        <v>6.7</v>
      </c>
      <c r="D16" s="3">
        <f t="shared" si="0"/>
        <v>1.3916666666666675</v>
      </c>
      <c r="E16">
        <f t="shared" si="1"/>
        <v>6.7000000000000002E-3</v>
      </c>
      <c r="F16" s="2">
        <f t="shared" si="2"/>
        <v>1.3916666666666661E-3</v>
      </c>
    </row>
    <row r="17" spans="1:6" x14ac:dyDescent="0.2">
      <c r="A17">
        <v>52</v>
      </c>
      <c r="B17">
        <v>100</v>
      </c>
      <c r="C17">
        <v>7</v>
      </c>
      <c r="D17" s="3">
        <f t="shared" si="0"/>
        <v>1.6916666666666673</v>
      </c>
      <c r="E17">
        <f t="shared" si="1"/>
        <v>7.0000000000000001E-3</v>
      </c>
      <c r="F17" s="2">
        <f t="shared" si="2"/>
        <v>1.691666666666666E-3</v>
      </c>
    </row>
    <row r="18" spans="1:6" x14ac:dyDescent="0.2">
      <c r="A18">
        <v>26</v>
      </c>
      <c r="B18">
        <v>25</v>
      </c>
      <c r="C18">
        <v>4</v>
      </c>
      <c r="D18" s="3">
        <f t="shared" si="0"/>
        <v>1.3083333333333327</v>
      </c>
      <c r="E18">
        <f t="shared" si="1"/>
        <v>4.0000000000000001E-3</v>
      </c>
      <c r="F18" s="2">
        <f t="shared" si="2"/>
        <v>1.3083333333333341E-3</v>
      </c>
    </row>
    <row r="19" spans="1:6" x14ac:dyDescent="0.2">
      <c r="A19">
        <v>26</v>
      </c>
      <c r="B19">
        <v>75</v>
      </c>
      <c r="C19">
        <v>6.9</v>
      </c>
      <c r="D19" s="3">
        <f t="shared" si="0"/>
        <v>1.5916666666666677</v>
      </c>
      <c r="E19">
        <f t="shared" si="1"/>
        <v>6.9000000000000008E-3</v>
      </c>
      <c r="F19" s="2">
        <f t="shared" si="2"/>
        <v>1.5916666666666666E-3</v>
      </c>
    </row>
    <row r="20" spans="1:6" x14ac:dyDescent="0.2">
      <c r="A20">
        <v>26</v>
      </c>
      <c r="B20">
        <v>125</v>
      </c>
      <c r="C20">
        <v>4.8</v>
      </c>
      <c r="D20" s="3">
        <f t="shared" si="0"/>
        <v>0.50833333333333286</v>
      </c>
      <c r="E20">
        <f t="shared" si="1"/>
        <v>4.7999999999999996E-3</v>
      </c>
      <c r="F20" s="2">
        <f t="shared" si="2"/>
        <v>5.0833333333333459E-4</v>
      </c>
    </row>
    <row r="21" spans="1:6" x14ac:dyDescent="0.2">
      <c r="A21">
        <v>0</v>
      </c>
      <c r="B21">
        <v>50</v>
      </c>
      <c r="C21">
        <v>4</v>
      </c>
      <c r="D21" s="3">
        <f t="shared" si="0"/>
        <v>1.3083333333333327</v>
      </c>
      <c r="E21">
        <f t="shared" si="1"/>
        <v>4.0000000000000001E-3</v>
      </c>
      <c r="F21" s="2">
        <f t="shared" si="2"/>
        <v>1.3083333333333341E-3</v>
      </c>
    </row>
    <row r="22" spans="1:6" x14ac:dyDescent="0.2">
      <c r="A22">
        <v>0</v>
      </c>
      <c r="B22">
        <v>100</v>
      </c>
      <c r="C22">
        <v>4.9000000000000004</v>
      </c>
      <c r="D22" s="3">
        <f t="shared" si="0"/>
        <v>0.40833333333333233</v>
      </c>
      <c r="E22">
        <f t="shared" si="1"/>
        <v>4.9000000000000007E-3</v>
      </c>
      <c r="F22" s="2">
        <f t="shared" si="2"/>
        <v>4.0833333333333346E-4</v>
      </c>
    </row>
    <row r="23" spans="1:6" x14ac:dyDescent="0.2">
      <c r="C23" s="3">
        <f>AVERAGE(C11:C22)</f>
        <v>5.3083333333333327</v>
      </c>
      <c r="D23" t="s">
        <v>5</v>
      </c>
      <c r="E23" s="4">
        <f>AVERAGE(E11:E22)</f>
        <v>5.3083333333333342E-3</v>
      </c>
    </row>
    <row r="24" spans="1:6" x14ac:dyDescent="0.2">
      <c r="C24">
        <f>C23*12</f>
        <v>63.699999999999989</v>
      </c>
      <c r="D24" t="s">
        <v>2</v>
      </c>
    </row>
    <row r="25" spans="1:6" x14ac:dyDescent="0.2">
      <c r="C25">
        <f>C23*6</f>
        <v>31.849999999999994</v>
      </c>
      <c r="D25" t="s">
        <v>3</v>
      </c>
      <c r="F25" s="2"/>
    </row>
    <row r="26" spans="1:6" x14ac:dyDescent="0.2">
      <c r="C26">
        <f>C23/5</f>
        <v>1.0616666666666665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28EC-99B4-8347-824D-17F06A1B10D7}">
  <dimension ref="A1:I35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460.608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3.9</v>
      </c>
      <c r="D11" s="3">
        <f t="shared" ref="D11:D22" si="0">ABS(C11-$C$23)</f>
        <v>0.78333333333333277</v>
      </c>
      <c r="E11">
        <f t="shared" ref="E11:E22" si="1">C11*0.001</f>
        <v>3.8999999999999998E-3</v>
      </c>
      <c r="F11" s="2">
        <f t="shared" ref="F11:F22" si="2">ABS(E11-$E$23)</f>
        <v>7.833333333333338E-4</v>
      </c>
    </row>
    <row r="12" spans="1:9" x14ac:dyDescent="0.2">
      <c r="A12">
        <v>104</v>
      </c>
      <c r="B12">
        <v>100</v>
      </c>
      <c r="C12">
        <v>3.2</v>
      </c>
      <c r="D12" s="3">
        <f t="shared" si="0"/>
        <v>1.4833333333333325</v>
      </c>
      <c r="E12">
        <f t="shared" si="1"/>
        <v>3.2000000000000002E-3</v>
      </c>
      <c r="F12" s="2">
        <f t="shared" si="2"/>
        <v>1.4833333333333335E-3</v>
      </c>
      <c r="H12" t="s">
        <v>9</v>
      </c>
    </row>
    <row r="13" spans="1:9" x14ac:dyDescent="0.2">
      <c r="A13">
        <v>78</v>
      </c>
      <c r="B13">
        <v>25</v>
      </c>
      <c r="C13">
        <v>3.9</v>
      </c>
      <c r="D13" s="3">
        <f t="shared" si="0"/>
        <v>0.78333333333333277</v>
      </c>
      <c r="E13">
        <f t="shared" si="1"/>
        <v>3.8999999999999998E-3</v>
      </c>
      <c r="F13" s="2">
        <f t="shared" si="2"/>
        <v>7.833333333333338E-4</v>
      </c>
      <c r="H13" s="3">
        <f>SUM(D11:D35)</f>
        <v>17.733333333333331</v>
      </c>
      <c r="I13" t="s">
        <v>10</v>
      </c>
    </row>
    <row r="14" spans="1:9" x14ac:dyDescent="0.2">
      <c r="A14">
        <v>78</v>
      </c>
      <c r="B14">
        <v>75</v>
      </c>
      <c r="C14">
        <v>6.2</v>
      </c>
      <c r="D14" s="3">
        <f t="shared" si="0"/>
        <v>1.5166666666666675</v>
      </c>
      <c r="E14">
        <f t="shared" si="1"/>
        <v>6.2000000000000006E-3</v>
      </c>
      <c r="F14" s="2">
        <f t="shared" si="2"/>
        <v>1.516666666666667E-3</v>
      </c>
      <c r="H14">
        <f>C23*12</f>
        <v>56.199999999999989</v>
      </c>
      <c r="I14" t="s">
        <v>11</v>
      </c>
    </row>
    <row r="15" spans="1:9" x14ac:dyDescent="0.2">
      <c r="A15">
        <v>78</v>
      </c>
      <c r="B15">
        <v>125</v>
      </c>
      <c r="C15">
        <v>3.7</v>
      </c>
      <c r="D15" s="3">
        <f t="shared" si="0"/>
        <v>0.9833333333333325</v>
      </c>
      <c r="E15">
        <f t="shared" si="1"/>
        <v>3.7000000000000002E-3</v>
      </c>
      <c r="F15" s="2">
        <f t="shared" si="2"/>
        <v>9.8333333333333345E-4</v>
      </c>
      <c r="H15" s="5">
        <f>1-(H13/H14)</f>
        <v>0.68446026097271639</v>
      </c>
    </row>
    <row r="16" spans="1:9" x14ac:dyDescent="0.2">
      <c r="A16">
        <v>52</v>
      </c>
      <c r="B16">
        <v>50</v>
      </c>
      <c r="C16">
        <v>5.7</v>
      </c>
      <c r="D16" s="3">
        <f t="shared" si="0"/>
        <v>1.0166666666666675</v>
      </c>
      <c r="E16">
        <f t="shared" si="1"/>
        <v>5.7000000000000002E-3</v>
      </c>
      <c r="F16" s="2">
        <f t="shared" si="2"/>
        <v>1.0166666666666666E-3</v>
      </c>
    </row>
    <row r="17" spans="1:6" x14ac:dyDescent="0.2">
      <c r="A17">
        <v>52</v>
      </c>
      <c r="B17">
        <v>100</v>
      </c>
      <c r="C17">
        <v>8.1999999999999993</v>
      </c>
      <c r="D17" s="3">
        <f t="shared" si="0"/>
        <v>3.5166666666666666</v>
      </c>
      <c r="E17">
        <f t="shared" si="1"/>
        <v>8.199999999999999E-3</v>
      </c>
      <c r="F17" s="2">
        <f t="shared" si="2"/>
        <v>3.5166666666666653E-3</v>
      </c>
    </row>
    <row r="18" spans="1:6" x14ac:dyDescent="0.2">
      <c r="A18">
        <v>26</v>
      </c>
      <c r="B18">
        <v>25</v>
      </c>
      <c r="C18">
        <v>3</v>
      </c>
      <c r="D18" s="3">
        <f t="shared" si="0"/>
        <v>1.6833333333333327</v>
      </c>
      <c r="E18">
        <f t="shared" si="1"/>
        <v>3.0000000000000001E-3</v>
      </c>
      <c r="F18" s="2">
        <f t="shared" si="2"/>
        <v>1.6833333333333336E-3</v>
      </c>
    </row>
    <row r="19" spans="1:6" x14ac:dyDescent="0.2">
      <c r="A19">
        <v>26</v>
      </c>
      <c r="B19">
        <v>75</v>
      </c>
      <c r="C19">
        <v>7.5</v>
      </c>
      <c r="D19" s="3">
        <f t="shared" si="0"/>
        <v>2.8166666666666673</v>
      </c>
      <c r="E19">
        <f t="shared" si="1"/>
        <v>7.4999999999999997E-3</v>
      </c>
      <c r="F19" s="2">
        <f t="shared" si="2"/>
        <v>2.8166666666666661E-3</v>
      </c>
    </row>
    <row r="20" spans="1:6" x14ac:dyDescent="0.2">
      <c r="A20">
        <v>26</v>
      </c>
      <c r="B20">
        <v>125</v>
      </c>
      <c r="C20">
        <v>3.8</v>
      </c>
      <c r="D20" s="3">
        <f t="shared" si="0"/>
        <v>0.88333333333333286</v>
      </c>
      <c r="E20">
        <f t="shared" si="1"/>
        <v>3.8E-3</v>
      </c>
      <c r="F20" s="2">
        <f t="shared" si="2"/>
        <v>8.8333333333333363E-4</v>
      </c>
    </row>
    <row r="21" spans="1:6" x14ac:dyDescent="0.2">
      <c r="A21">
        <v>0</v>
      </c>
      <c r="B21">
        <v>50</v>
      </c>
      <c r="C21">
        <v>3</v>
      </c>
      <c r="D21" s="3">
        <f t="shared" si="0"/>
        <v>1.6833333333333327</v>
      </c>
      <c r="E21">
        <f t="shared" si="1"/>
        <v>3.0000000000000001E-3</v>
      </c>
      <c r="F21" s="2">
        <f t="shared" si="2"/>
        <v>1.6833333333333336E-3</v>
      </c>
    </row>
    <row r="22" spans="1:6" x14ac:dyDescent="0.2">
      <c r="A22">
        <v>0</v>
      </c>
      <c r="B22">
        <v>100</v>
      </c>
      <c r="C22">
        <v>4.0999999999999996</v>
      </c>
      <c r="D22" s="3">
        <f t="shared" si="0"/>
        <v>0.58333333333333304</v>
      </c>
      <c r="E22">
        <f t="shared" si="1"/>
        <v>4.0999999999999995E-3</v>
      </c>
      <c r="F22" s="2">
        <f t="shared" si="2"/>
        <v>5.8333333333333414E-4</v>
      </c>
    </row>
    <row r="23" spans="1:6" x14ac:dyDescent="0.2">
      <c r="C23" s="3">
        <f>AVERAGE(C11:C22)</f>
        <v>4.6833333333333327</v>
      </c>
      <c r="D23" t="s">
        <v>5</v>
      </c>
      <c r="E23" s="4">
        <f>AVERAGE(E11:E22)</f>
        <v>4.6833333333333336E-3</v>
      </c>
    </row>
    <row r="24" spans="1:6" x14ac:dyDescent="0.2">
      <c r="C24">
        <f>C23*12</f>
        <v>56.199999999999989</v>
      </c>
      <c r="D24" t="s">
        <v>2</v>
      </c>
    </row>
    <row r="25" spans="1:6" x14ac:dyDescent="0.2">
      <c r="C25">
        <f>C23*6</f>
        <v>28.099999999999994</v>
      </c>
      <c r="D25" t="s">
        <v>3</v>
      </c>
      <c r="F25" s="2"/>
    </row>
    <row r="26" spans="1:6" x14ac:dyDescent="0.2">
      <c r="C26">
        <f>C23/5</f>
        <v>0.93666666666666654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0B64-D01B-8743-97CC-91CD8CC7756A}">
  <dimension ref="A1:I3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460.608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3.9</v>
      </c>
      <c r="D11" s="3">
        <f t="shared" ref="D11:D22" si="0">ABS(C11-$C$23)</f>
        <v>0.84166666666666634</v>
      </c>
      <c r="E11">
        <f t="shared" ref="E11:E22" si="1">C11*0.001</f>
        <v>3.8999999999999998E-3</v>
      </c>
      <c r="F11" s="2">
        <f t="shared" ref="F11:F22" si="2">ABS(E11-$E$23)</f>
        <v>8.4166666666666765E-4</v>
      </c>
    </row>
    <row r="12" spans="1:9" x14ac:dyDescent="0.2">
      <c r="A12">
        <v>104</v>
      </c>
      <c r="B12">
        <v>100</v>
      </c>
      <c r="C12">
        <v>3.1</v>
      </c>
      <c r="D12" s="3">
        <f t="shared" si="0"/>
        <v>1.6416666666666662</v>
      </c>
      <c r="E12">
        <f t="shared" si="1"/>
        <v>3.1000000000000003E-3</v>
      </c>
      <c r="F12" s="2">
        <f t="shared" si="2"/>
        <v>1.6416666666666671E-3</v>
      </c>
      <c r="H12" t="s">
        <v>9</v>
      </c>
    </row>
    <row r="13" spans="1:9" x14ac:dyDescent="0.2">
      <c r="A13">
        <v>78</v>
      </c>
      <c r="B13">
        <v>25</v>
      </c>
      <c r="C13">
        <v>3.9</v>
      </c>
      <c r="D13" s="3">
        <f t="shared" si="0"/>
        <v>0.84166666666666634</v>
      </c>
      <c r="E13">
        <f t="shared" si="1"/>
        <v>3.8999999999999998E-3</v>
      </c>
      <c r="F13" s="2">
        <f t="shared" si="2"/>
        <v>8.4166666666666765E-4</v>
      </c>
      <c r="H13" s="3">
        <f>SUM(D11:D35)</f>
        <v>18.783333333333339</v>
      </c>
      <c r="I13" t="s">
        <v>10</v>
      </c>
    </row>
    <row r="14" spans="1:9" x14ac:dyDescent="0.2">
      <c r="A14">
        <v>78</v>
      </c>
      <c r="B14">
        <v>75</v>
      </c>
      <c r="C14">
        <v>5.9</v>
      </c>
      <c r="D14" s="3">
        <f t="shared" si="0"/>
        <v>1.1583333333333341</v>
      </c>
      <c r="E14">
        <f t="shared" si="1"/>
        <v>5.9000000000000007E-3</v>
      </c>
      <c r="F14" s="2">
        <f t="shared" si="2"/>
        <v>1.1583333333333333E-3</v>
      </c>
      <c r="H14">
        <f>C23*12</f>
        <v>56.899999999999991</v>
      </c>
      <c r="I14" t="s">
        <v>11</v>
      </c>
    </row>
    <row r="15" spans="1:9" x14ac:dyDescent="0.2">
      <c r="A15">
        <v>78</v>
      </c>
      <c r="B15">
        <v>125</v>
      </c>
      <c r="C15">
        <v>3.4</v>
      </c>
      <c r="D15" s="3">
        <f t="shared" si="0"/>
        <v>1.3416666666666663</v>
      </c>
      <c r="E15">
        <f t="shared" si="1"/>
        <v>3.3999999999999998E-3</v>
      </c>
      <c r="F15" s="2">
        <f t="shared" si="2"/>
        <v>1.3416666666666677E-3</v>
      </c>
      <c r="H15" s="5">
        <f>1-(H13/H14)</f>
        <v>0.6698886936145283</v>
      </c>
    </row>
    <row r="16" spans="1:9" x14ac:dyDescent="0.2">
      <c r="A16">
        <v>52</v>
      </c>
      <c r="B16">
        <v>50</v>
      </c>
      <c r="C16">
        <v>6.9</v>
      </c>
      <c r="D16" s="3">
        <f t="shared" si="0"/>
        <v>2.1583333333333341</v>
      </c>
      <c r="E16">
        <f t="shared" si="1"/>
        <v>6.9000000000000008E-3</v>
      </c>
      <c r="F16" s="2">
        <f t="shared" si="2"/>
        <v>2.1583333333333333E-3</v>
      </c>
    </row>
    <row r="17" spans="1:6" x14ac:dyDescent="0.2">
      <c r="A17">
        <v>52</v>
      </c>
      <c r="B17">
        <v>100</v>
      </c>
      <c r="C17">
        <v>7.8</v>
      </c>
      <c r="D17" s="3">
        <f t="shared" si="0"/>
        <v>3.0583333333333336</v>
      </c>
      <c r="E17">
        <f t="shared" si="1"/>
        <v>7.7999999999999996E-3</v>
      </c>
      <c r="F17" s="2">
        <f t="shared" si="2"/>
        <v>3.0583333333333322E-3</v>
      </c>
    </row>
    <row r="18" spans="1:6" x14ac:dyDescent="0.2">
      <c r="A18">
        <v>26</v>
      </c>
      <c r="B18">
        <v>25</v>
      </c>
      <c r="C18">
        <v>3</v>
      </c>
      <c r="D18" s="3">
        <f t="shared" si="0"/>
        <v>1.7416666666666663</v>
      </c>
      <c r="E18">
        <f t="shared" si="1"/>
        <v>3.0000000000000001E-3</v>
      </c>
      <c r="F18" s="2">
        <f t="shared" si="2"/>
        <v>1.7416666666666674E-3</v>
      </c>
    </row>
    <row r="19" spans="1:6" x14ac:dyDescent="0.2">
      <c r="A19">
        <v>26</v>
      </c>
      <c r="B19">
        <v>75</v>
      </c>
      <c r="C19">
        <v>7.6</v>
      </c>
      <c r="D19" s="3">
        <f t="shared" si="0"/>
        <v>2.8583333333333334</v>
      </c>
      <c r="E19">
        <f t="shared" si="1"/>
        <v>7.6E-3</v>
      </c>
      <c r="F19" s="2">
        <f t="shared" si="2"/>
        <v>2.8583333333333325E-3</v>
      </c>
    </row>
    <row r="20" spans="1:6" x14ac:dyDescent="0.2">
      <c r="A20">
        <v>26</v>
      </c>
      <c r="B20">
        <v>125</v>
      </c>
      <c r="C20">
        <v>3.5</v>
      </c>
      <c r="D20" s="3">
        <f t="shared" si="0"/>
        <v>1.2416666666666663</v>
      </c>
      <c r="E20">
        <f t="shared" si="1"/>
        <v>3.5000000000000001E-3</v>
      </c>
      <c r="F20" s="2">
        <f t="shared" si="2"/>
        <v>1.2416666666666674E-3</v>
      </c>
    </row>
    <row r="21" spans="1:6" x14ac:dyDescent="0.2">
      <c r="A21">
        <v>0</v>
      </c>
      <c r="B21">
        <v>50</v>
      </c>
      <c r="C21">
        <v>3</v>
      </c>
      <c r="D21" s="3">
        <f t="shared" si="0"/>
        <v>1.7416666666666663</v>
      </c>
      <c r="E21">
        <f t="shared" si="1"/>
        <v>3.0000000000000001E-3</v>
      </c>
      <c r="F21" s="2">
        <f t="shared" si="2"/>
        <v>1.7416666666666674E-3</v>
      </c>
    </row>
    <row r="22" spans="1:6" x14ac:dyDescent="0.2">
      <c r="A22">
        <v>0</v>
      </c>
      <c r="B22">
        <v>100</v>
      </c>
      <c r="C22">
        <v>4.9000000000000004</v>
      </c>
      <c r="D22" s="3">
        <f t="shared" si="0"/>
        <v>0.1583333333333341</v>
      </c>
      <c r="E22">
        <f t="shared" si="1"/>
        <v>4.9000000000000007E-3</v>
      </c>
      <c r="F22" s="2">
        <f t="shared" si="2"/>
        <v>1.5833333333333324E-4</v>
      </c>
    </row>
    <row r="23" spans="1:6" x14ac:dyDescent="0.2">
      <c r="C23" s="3">
        <f>AVERAGE(C11:C22)</f>
        <v>4.7416666666666663</v>
      </c>
      <c r="D23" t="s">
        <v>5</v>
      </c>
      <c r="E23" s="4">
        <f>AVERAGE(E11:E22)</f>
        <v>4.7416666666666675E-3</v>
      </c>
    </row>
    <row r="24" spans="1:6" x14ac:dyDescent="0.2">
      <c r="C24">
        <f>C23*12</f>
        <v>56.899999999999991</v>
      </c>
      <c r="D24" t="s">
        <v>2</v>
      </c>
    </row>
    <row r="25" spans="1:6" x14ac:dyDescent="0.2">
      <c r="C25">
        <f>C23*6</f>
        <v>28.449999999999996</v>
      </c>
      <c r="D25" t="s">
        <v>3</v>
      </c>
      <c r="F25" s="2"/>
    </row>
    <row r="26" spans="1:6" x14ac:dyDescent="0.2">
      <c r="C26">
        <f>C23/5</f>
        <v>0.94833333333333325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5:B5"/>
    <mergeCell ref="C5:D5"/>
    <mergeCell ref="A6:B6"/>
    <mergeCell ref="C6:D6"/>
    <mergeCell ref="A7:B7"/>
    <mergeCell ref="C7:D7"/>
    <mergeCell ref="A4:B4"/>
    <mergeCell ref="C4:D4"/>
    <mergeCell ref="A1:B1"/>
    <mergeCell ref="A2:B2"/>
    <mergeCell ref="C2:D2"/>
    <mergeCell ref="A3:B3"/>
    <mergeCell ref="C3:D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4A0A-8AC2-2B46-AF74-2653CEE720C0}">
  <dimension ref="A1:I35"/>
  <sheetViews>
    <sheetView workbookViewId="0">
      <selection activeCell="C26" sqref="C26"/>
    </sheetView>
  </sheetViews>
  <sheetFormatPr baseColWidth="10" defaultColWidth="8.83203125" defaultRowHeight="15" x14ac:dyDescent="0.2"/>
  <cols>
    <col min="1" max="1" width="8.83203125" customWidth="1"/>
    <col min="2" max="2" width="9.5" bestFit="1" customWidth="1"/>
    <col min="5" max="5" width="9.33203125" customWidth="1"/>
  </cols>
  <sheetData>
    <row r="1" spans="1:9" x14ac:dyDescent="0.2">
      <c r="A1" s="11" t="s">
        <v>13</v>
      </c>
      <c r="B1" s="11"/>
    </row>
    <row r="2" spans="1:9" x14ac:dyDescent="0.2">
      <c r="A2" s="10" t="s">
        <v>15</v>
      </c>
      <c r="B2" s="10"/>
      <c r="C2" s="12">
        <v>460.608</v>
      </c>
      <c r="D2" s="12"/>
    </row>
    <row r="3" spans="1:9" x14ac:dyDescent="0.2">
      <c r="A3" s="10" t="s">
        <v>16</v>
      </c>
      <c r="B3" s="10"/>
      <c r="C3" s="10" t="s">
        <v>21</v>
      </c>
      <c r="D3" s="10"/>
    </row>
    <row r="4" spans="1:9" x14ac:dyDescent="0.2">
      <c r="A4" s="10" t="s">
        <v>17</v>
      </c>
      <c r="B4" s="10"/>
      <c r="C4" s="10" t="s">
        <v>22</v>
      </c>
      <c r="D4" s="10"/>
    </row>
    <row r="5" spans="1:9" x14ac:dyDescent="0.2">
      <c r="A5" s="10" t="s">
        <v>18</v>
      </c>
      <c r="B5" s="10"/>
      <c r="C5" s="10" t="s">
        <v>20</v>
      </c>
      <c r="D5" s="10"/>
    </row>
    <row r="6" spans="1:9" x14ac:dyDescent="0.2">
      <c r="A6" s="10" t="s">
        <v>23</v>
      </c>
      <c r="B6" s="10"/>
      <c r="C6" s="10" t="s">
        <v>24</v>
      </c>
      <c r="D6" s="10"/>
    </row>
    <row r="7" spans="1:9" x14ac:dyDescent="0.2">
      <c r="A7" s="10" t="s">
        <v>14</v>
      </c>
      <c r="B7" s="10"/>
      <c r="C7" s="13">
        <v>45784</v>
      </c>
      <c r="D7" s="12"/>
    </row>
    <row r="8" spans="1:9" x14ac:dyDescent="0.2">
      <c r="B8" s="1"/>
    </row>
    <row r="9" spans="1:9" x14ac:dyDescent="0.2">
      <c r="A9" s="6" t="s">
        <v>19</v>
      </c>
      <c r="B9" s="1"/>
    </row>
    <row r="10" spans="1:9" x14ac:dyDescent="0.2">
      <c r="A10" t="s">
        <v>1</v>
      </c>
      <c r="B10" t="s">
        <v>0</v>
      </c>
      <c r="C10" t="s">
        <v>4</v>
      </c>
      <c r="D10" t="s">
        <v>6</v>
      </c>
      <c r="E10" t="s">
        <v>8</v>
      </c>
      <c r="F10" t="s">
        <v>7</v>
      </c>
    </row>
    <row r="11" spans="1:9" x14ac:dyDescent="0.2">
      <c r="A11">
        <v>104</v>
      </c>
      <c r="B11">
        <v>50</v>
      </c>
      <c r="C11">
        <v>4</v>
      </c>
      <c r="D11" s="3">
        <f t="shared" ref="D11:D22" si="0">ABS(C11-$C$23)</f>
        <v>0.64999999999999947</v>
      </c>
      <c r="E11">
        <f t="shared" ref="E11:E22" si="1">C11*0.001</f>
        <v>4.0000000000000001E-3</v>
      </c>
      <c r="F11" s="2">
        <f t="shared" ref="F11:F22" si="2">ABS(E11-$E$23)</f>
        <v>6.500000000000004E-4</v>
      </c>
    </row>
    <row r="12" spans="1:9" x14ac:dyDescent="0.2">
      <c r="A12">
        <v>104</v>
      </c>
      <c r="B12">
        <v>100</v>
      </c>
      <c r="C12">
        <v>3.5</v>
      </c>
      <c r="D12" s="3">
        <f t="shared" si="0"/>
        <v>1.1499999999999995</v>
      </c>
      <c r="E12">
        <f t="shared" si="1"/>
        <v>3.5000000000000001E-3</v>
      </c>
      <c r="F12" s="2">
        <f t="shared" si="2"/>
        <v>1.1500000000000004E-3</v>
      </c>
      <c r="H12" t="s">
        <v>9</v>
      </c>
    </row>
    <row r="13" spans="1:9" x14ac:dyDescent="0.2">
      <c r="A13">
        <v>78</v>
      </c>
      <c r="B13">
        <v>25</v>
      </c>
      <c r="C13">
        <v>3.9</v>
      </c>
      <c r="D13" s="3">
        <f t="shared" si="0"/>
        <v>0.74999999999999956</v>
      </c>
      <c r="E13">
        <f t="shared" si="1"/>
        <v>3.8999999999999998E-3</v>
      </c>
      <c r="F13" s="2">
        <f t="shared" si="2"/>
        <v>7.5000000000000067E-4</v>
      </c>
      <c r="H13" s="3">
        <f>SUM(D11:D35)</f>
        <v>18.399999999999999</v>
      </c>
      <c r="I13" t="s">
        <v>10</v>
      </c>
    </row>
    <row r="14" spans="1:9" x14ac:dyDescent="0.2">
      <c r="A14">
        <v>78</v>
      </c>
      <c r="B14">
        <v>75</v>
      </c>
      <c r="C14">
        <v>7</v>
      </c>
      <c r="D14" s="3">
        <f t="shared" si="0"/>
        <v>2.3500000000000005</v>
      </c>
      <c r="E14">
        <f t="shared" si="1"/>
        <v>7.0000000000000001E-3</v>
      </c>
      <c r="F14" s="2">
        <f t="shared" si="2"/>
        <v>2.3499999999999997E-3</v>
      </c>
      <c r="H14">
        <f>C23*12</f>
        <v>55.8</v>
      </c>
      <c r="I14" t="s">
        <v>11</v>
      </c>
    </row>
    <row r="15" spans="1:9" x14ac:dyDescent="0.2">
      <c r="A15">
        <v>78</v>
      </c>
      <c r="B15">
        <v>125</v>
      </c>
      <c r="C15">
        <v>3.6</v>
      </c>
      <c r="D15" s="3">
        <f t="shared" si="0"/>
        <v>1.0499999999999994</v>
      </c>
      <c r="E15">
        <f t="shared" si="1"/>
        <v>3.6000000000000003E-3</v>
      </c>
      <c r="F15" s="2">
        <f t="shared" si="2"/>
        <v>1.0500000000000002E-3</v>
      </c>
      <c r="H15" s="5">
        <f>1-(H13/H14)</f>
        <v>0.67025089605734767</v>
      </c>
    </row>
    <row r="16" spans="1:9" x14ac:dyDescent="0.2">
      <c r="A16">
        <v>52</v>
      </c>
      <c r="B16">
        <v>50</v>
      </c>
      <c r="C16">
        <v>5</v>
      </c>
      <c r="D16" s="3">
        <f t="shared" si="0"/>
        <v>0.35000000000000053</v>
      </c>
      <c r="E16">
        <f t="shared" si="1"/>
        <v>5.0000000000000001E-3</v>
      </c>
      <c r="F16" s="2">
        <f t="shared" si="2"/>
        <v>3.4999999999999962E-4</v>
      </c>
    </row>
    <row r="17" spans="1:6" x14ac:dyDescent="0.2">
      <c r="A17">
        <v>52</v>
      </c>
      <c r="B17">
        <v>100</v>
      </c>
      <c r="C17">
        <v>8</v>
      </c>
      <c r="D17" s="3">
        <f t="shared" si="0"/>
        <v>3.3500000000000005</v>
      </c>
      <c r="E17">
        <f t="shared" si="1"/>
        <v>8.0000000000000002E-3</v>
      </c>
      <c r="F17" s="2">
        <f t="shared" si="2"/>
        <v>3.3499999999999997E-3</v>
      </c>
    </row>
    <row r="18" spans="1:6" x14ac:dyDescent="0.2">
      <c r="A18">
        <v>26</v>
      </c>
      <c r="B18">
        <v>25</v>
      </c>
      <c r="C18">
        <v>3</v>
      </c>
      <c r="D18" s="3">
        <f t="shared" si="0"/>
        <v>1.6499999999999995</v>
      </c>
      <c r="E18">
        <f t="shared" si="1"/>
        <v>3.0000000000000001E-3</v>
      </c>
      <c r="F18" s="2">
        <f t="shared" si="2"/>
        <v>1.6500000000000004E-3</v>
      </c>
    </row>
    <row r="19" spans="1:6" x14ac:dyDescent="0.2">
      <c r="A19">
        <v>26</v>
      </c>
      <c r="B19">
        <v>75</v>
      </c>
      <c r="C19">
        <v>7.8</v>
      </c>
      <c r="D19" s="3">
        <f t="shared" si="0"/>
        <v>3.1500000000000004</v>
      </c>
      <c r="E19">
        <f t="shared" si="1"/>
        <v>7.7999999999999996E-3</v>
      </c>
      <c r="F19" s="2">
        <f t="shared" si="2"/>
        <v>3.1499999999999992E-3</v>
      </c>
    </row>
    <row r="20" spans="1:6" x14ac:dyDescent="0.2">
      <c r="A20">
        <v>26</v>
      </c>
      <c r="B20">
        <v>125</v>
      </c>
      <c r="C20">
        <v>3.2</v>
      </c>
      <c r="D20" s="3">
        <f t="shared" si="0"/>
        <v>1.4499999999999993</v>
      </c>
      <c r="E20">
        <f t="shared" si="1"/>
        <v>3.2000000000000002E-3</v>
      </c>
      <c r="F20" s="2">
        <f t="shared" si="2"/>
        <v>1.4500000000000003E-3</v>
      </c>
    </row>
    <row r="21" spans="1:6" x14ac:dyDescent="0.2">
      <c r="A21">
        <v>0</v>
      </c>
      <c r="B21">
        <v>50</v>
      </c>
      <c r="C21">
        <v>3</v>
      </c>
      <c r="D21" s="3">
        <f t="shared" si="0"/>
        <v>1.6499999999999995</v>
      </c>
      <c r="E21">
        <f t="shared" si="1"/>
        <v>3.0000000000000001E-3</v>
      </c>
      <c r="F21" s="2">
        <f t="shared" si="2"/>
        <v>1.6500000000000004E-3</v>
      </c>
    </row>
    <row r="22" spans="1:6" x14ac:dyDescent="0.2">
      <c r="A22">
        <v>0</v>
      </c>
      <c r="B22">
        <v>100</v>
      </c>
      <c r="C22">
        <v>3.8</v>
      </c>
      <c r="D22" s="3">
        <f t="shared" si="0"/>
        <v>0.84999999999999964</v>
      </c>
      <c r="E22">
        <f t="shared" si="1"/>
        <v>3.8E-3</v>
      </c>
      <c r="F22" s="2">
        <f t="shared" si="2"/>
        <v>8.5000000000000049E-4</v>
      </c>
    </row>
    <row r="23" spans="1:6" x14ac:dyDescent="0.2">
      <c r="C23" s="3">
        <f>AVERAGE(C11:C22)</f>
        <v>4.6499999999999995</v>
      </c>
      <c r="D23" t="s">
        <v>5</v>
      </c>
      <c r="E23" s="4">
        <f>AVERAGE(E11:E22)</f>
        <v>4.6500000000000005E-3</v>
      </c>
    </row>
    <row r="24" spans="1:6" x14ac:dyDescent="0.2">
      <c r="C24">
        <f>C23*12</f>
        <v>55.8</v>
      </c>
      <c r="D24" t="s">
        <v>2</v>
      </c>
    </row>
    <row r="25" spans="1:6" x14ac:dyDescent="0.2">
      <c r="C25">
        <f>C23*6</f>
        <v>27.9</v>
      </c>
      <c r="D25" t="s">
        <v>3</v>
      </c>
      <c r="F25" s="2"/>
    </row>
    <row r="26" spans="1:6" x14ac:dyDescent="0.2">
      <c r="C26">
        <f>C23/5</f>
        <v>0.92999999999999994</v>
      </c>
      <c r="D26" t="s">
        <v>12</v>
      </c>
    </row>
    <row r="28" spans="1:6" x14ac:dyDescent="0.2">
      <c r="D28" s="3"/>
      <c r="F28" s="2"/>
    </row>
    <row r="32" spans="1:6" x14ac:dyDescent="0.2">
      <c r="D32" s="3"/>
      <c r="F32" s="2"/>
    </row>
    <row r="35" spans="4:6" x14ac:dyDescent="0.2">
      <c r="D35" s="3"/>
      <c r="F35" s="2"/>
    </row>
  </sheetData>
  <mergeCells count="13">
    <mergeCell ref="A6:B6"/>
    <mergeCell ref="C6:D6"/>
    <mergeCell ref="A7:B7"/>
    <mergeCell ref="C7:D7"/>
    <mergeCell ref="A2:B2"/>
    <mergeCell ref="A3:B3"/>
    <mergeCell ref="A4:B4"/>
    <mergeCell ref="A5:B5"/>
    <mergeCell ref="A1:B1"/>
    <mergeCell ref="C2:D2"/>
    <mergeCell ref="C3:D3"/>
    <mergeCell ref="C4:D4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high3_3</vt:lpstr>
      <vt:lpstr>high3_2</vt:lpstr>
      <vt:lpstr>high3_1</vt:lpstr>
      <vt:lpstr>high2_3</vt:lpstr>
      <vt:lpstr>high2_2</vt:lpstr>
      <vt:lpstr>high2_1</vt:lpstr>
      <vt:lpstr>high_3</vt:lpstr>
      <vt:lpstr>high_2</vt:lpstr>
      <vt:lpstr>high_1</vt:lpstr>
      <vt:lpstr>med3_3</vt:lpstr>
      <vt:lpstr>med3_2</vt:lpstr>
      <vt:lpstr>med3_1</vt:lpstr>
      <vt:lpstr>med2_3</vt:lpstr>
      <vt:lpstr>med2_2</vt:lpstr>
      <vt:lpstr>med2_1</vt:lpstr>
      <vt:lpstr>med_3</vt:lpstr>
      <vt:lpstr>med_2</vt:lpstr>
      <vt:lpstr>med_1</vt:lpstr>
      <vt:lpstr>low_3</vt:lpstr>
      <vt:lpstr>low_2</vt:lpstr>
      <vt:lpstr>low_1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Loreggian, Marta</dc:creator>
  <cp:lastModifiedBy>Hannah Hapich</cp:lastModifiedBy>
  <dcterms:created xsi:type="dcterms:W3CDTF">2024-07-31T15:15:49Z</dcterms:created>
  <dcterms:modified xsi:type="dcterms:W3CDTF">2025-11-10T02:42:26Z</dcterms:modified>
</cp:coreProperties>
</file>